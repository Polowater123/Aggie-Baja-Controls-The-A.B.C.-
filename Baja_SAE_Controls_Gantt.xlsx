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lexmiller/Downloads/"/>
    </mc:Choice>
  </mc:AlternateContent>
  <xr:revisionPtr revIDLastSave="0" documentId="13_ncr:1_{DB0FCC49-58C5-E54C-94F2-5BF7C9EA5D6B}" xr6:coauthVersionLast="47" xr6:coauthVersionMax="47" xr10:uidLastSave="{00000000-0000-0000-0000-000000000000}"/>
  <bookViews>
    <workbookView xWindow="0" yWindow="660" windowWidth="30240" windowHeight="17500" tabRatio="500" xr2:uid="{00000000-000D-0000-FFFF-FFFF00000000}"/>
  </bookViews>
  <sheets>
    <sheet name="Gantt" sheetId="1" r:id="rId1"/>
    <sheet name="Course Schedule" sheetId="2" r:id="rId2"/>
  </sheets>
  <definedNames>
    <definedName name="_xlnm.Print_Titles" localSheetId="0">Gantt!$5:$7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2" i="1" l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G43" i="1"/>
  <c r="G44" i="1"/>
  <c r="G45" i="1"/>
  <c r="G46" i="1"/>
  <c r="G47" i="1"/>
  <c r="G48" i="1"/>
  <c r="G49" i="1"/>
  <c r="G50" i="1"/>
  <c r="G41" i="1"/>
  <c r="G40" i="1"/>
  <c r="F39" i="1"/>
  <c r="E39" i="1"/>
  <c r="G38" i="1"/>
  <c r="G37" i="1"/>
  <c r="G36" i="1"/>
  <c r="G35" i="1"/>
  <c r="G34" i="1"/>
  <c r="G33" i="1"/>
  <c r="G32" i="1"/>
  <c r="G31" i="1"/>
  <c r="G30" i="1"/>
  <c r="G29" i="1"/>
  <c r="G28" i="1"/>
  <c r="F27" i="1"/>
  <c r="E27" i="1"/>
  <c r="G26" i="1"/>
  <c r="G25" i="1"/>
  <c r="G24" i="1"/>
  <c r="G23" i="1"/>
  <c r="G22" i="1"/>
  <c r="G21" i="1"/>
  <c r="F20" i="1"/>
  <c r="E20" i="1"/>
  <c r="G19" i="1"/>
  <c r="G18" i="1"/>
  <c r="G17" i="1"/>
  <c r="G16" i="1"/>
  <c r="G15" i="1"/>
  <c r="G14" i="1"/>
  <c r="G13" i="1"/>
  <c r="F12" i="1"/>
  <c r="E12" i="1"/>
  <c r="G11" i="1"/>
  <c r="G10" i="1"/>
  <c r="G9" i="1"/>
  <c r="F8" i="1"/>
  <c r="E8" i="1"/>
  <c r="H7" i="1"/>
  <c r="H37" i="1" s="1"/>
  <c r="F2" i="1"/>
  <c r="H47" i="1" l="1"/>
  <c r="H43" i="1"/>
  <c r="H45" i="1"/>
  <c r="H46" i="1"/>
  <c r="H44" i="1"/>
  <c r="H49" i="1"/>
  <c r="H48" i="1"/>
  <c r="H17" i="1"/>
  <c r="H5" i="1"/>
  <c r="I7" i="1"/>
  <c r="H16" i="1"/>
  <c r="H30" i="1"/>
  <c r="H9" i="1"/>
  <c r="H23" i="1"/>
  <c r="G8" i="1"/>
  <c r="G20" i="1"/>
  <c r="G27" i="1"/>
  <c r="G12" i="1"/>
  <c r="H13" i="1"/>
  <c r="H19" i="1"/>
  <c r="H25" i="1"/>
  <c r="H10" i="1"/>
  <c r="H14" i="1"/>
  <c r="H18" i="1"/>
  <c r="H22" i="1"/>
  <c r="H31" i="1"/>
  <c r="G39" i="1"/>
  <c r="H36" i="1"/>
  <c r="H41" i="1"/>
  <c r="H34" i="1"/>
  <c r="H29" i="1"/>
  <c r="H40" i="1"/>
  <c r="H38" i="1"/>
  <c r="H33" i="1"/>
  <c r="H35" i="1"/>
  <c r="H26" i="1"/>
  <c r="H21" i="1"/>
  <c r="H32" i="1"/>
  <c r="H28" i="1"/>
  <c r="H50" i="1"/>
  <c r="H24" i="1"/>
  <c r="H11" i="1"/>
  <c r="H15" i="1"/>
  <c r="I28" i="1" l="1"/>
  <c r="I44" i="1"/>
  <c r="I46" i="1"/>
  <c r="I43" i="1"/>
  <c r="I45" i="1"/>
  <c r="I47" i="1"/>
  <c r="I21" i="1"/>
  <c r="I32" i="1"/>
  <c r="I48" i="1"/>
  <c r="I49" i="1"/>
  <c r="I33" i="1"/>
  <c r="I17" i="1"/>
  <c r="I24" i="1"/>
  <c r="J7" i="1"/>
  <c r="I50" i="1"/>
  <c r="I23" i="1"/>
  <c r="I38" i="1"/>
  <c r="I34" i="1"/>
  <c r="I18" i="1"/>
  <c r="I35" i="1"/>
  <c r="I25" i="1"/>
  <c r="I37" i="1"/>
  <c r="I5" i="1"/>
  <c r="I15" i="1"/>
  <c r="I13" i="1"/>
  <c r="I14" i="1"/>
  <c r="I40" i="1"/>
  <c r="I30" i="1"/>
  <c r="I10" i="1"/>
  <c r="I41" i="1"/>
  <c r="I29" i="1"/>
  <c r="I9" i="1"/>
  <c r="I31" i="1"/>
  <c r="I11" i="1"/>
  <c r="I36" i="1"/>
  <c r="I22" i="1"/>
  <c r="J34" i="1"/>
  <c r="J26" i="1"/>
  <c r="J31" i="1"/>
  <c r="I26" i="1"/>
  <c r="I16" i="1"/>
  <c r="I19" i="1"/>
  <c r="J36" i="1" l="1"/>
  <c r="J44" i="1"/>
  <c r="J46" i="1"/>
  <c r="J43" i="1"/>
  <c r="J45" i="1"/>
  <c r="J47" i="1"/>
  <c r="J15" i="1"/>
  <c r="J37" i="1"/>
  <c r="J32" i="1"/>
  <c r="J38" i="1"/>
  <c r="K7" i="1"/>
  <c r="J19" i="1"/>
  <c r="J35" i="1"/>
  <c r="J9" i="1"/>
  <c r="J22" i="1"/>
  <c r="J29" i="1"/>
  <c r="J49" i="1"/>
  <c r="J41" i="1"/>
  <c r="J48" i="1"/>
  <c r="K49" i="1"/>
  <c r="K41" i="1"/>
  <c r="J11" i="1"/>
  <c r="J10" i="1"/>
  <c r="J24" i="1"/>
  <c r="J13" i="1"/>
  <c r="J17" i="1"/>
  <c r="J23" i="1"/>
  <c r="J25" i="1"/>
  <c r="J21" i="1"/>
  <c r="J18" i="1"/>
  <c r="J40" i="1"/>
  <c r="J5" i="1"/>
  <c r="J50" i="1"/>
  <c r="J30" i="1"/>
  <c r="J16" i="1"/>
  <c r="J14" i="1"/>
  <c r="J33" i="1"/>
  <c r="J28" i="1"/>
  <c r="K50" i="1"/>
  <c r="K35" i="1"/>
  <c r="K5" i="1"/>
  <c r="L7" i="1" l="1"/>
  <c r="L49" i="1" s="1"/>
  <c r="K44" i="1"/>
  <c r="K46" i="1"/>
  <c r="K43" i="1"/>
  <c r="K45" i="1"/>
  <c r="K47" i="1"/>
  <c r="K36" i="1"/>
  <c r="K28" i="1"/>
  <c r="K19" i="1"/>
  <c r="K33" i="1"/>
  <c r="K9" i="1"/>
  <c r="K15" i="1"/>
  <c r="K24" i="1"/>
  <c r="K40" i="1"/>
  <c r="K29" i="1"/>
  <c r="K37" i="1"/>
  <c r="K34" i="1"/>
  <c r="K22" i="1"/>
  <c r="K14" i="1"/>
  <c r="K21" i="1"/>
  <c r="K25" i="1"/>
  <c r="K31" i="1"/>
  <c r="K13" i="1"/>
  <c r="K23" i="1"/>
  <c r="K26" i="1"/>
  <c r="K17" i="1"/>
  <c r="K18" i="1"/>
  <c r="K10" i="1"/>
  <c r="K38" i="1"/>
  <c r="K16" i="1"/>
  <c r="K32" i="1"/>
  <c r="K48" i="1"/>
  <c r="L50" i="1"/>
  <c r="L40" i="1"/>
  <c r="L29" i="1"/>
  <c r="L23" i="1"/>
  <c r="L9" i="1"/>
  <c r="K11" i="1"/>
  <c r="K30" i="1"/>
  <c r="L25" i="1"/>
  <c r="L33" i="1"/>
  <c r="L41" i="1"/>
  <c r="L48" i="1"/>
  <c r="L37" i="1"/>
  <c r="L11" i="1"/>
  <c r="L31" i="1"/>
  <c r="L34" i="1"/>
  <c r="L16" i="1"/>
  <c r="L22" i="1"/>
  <c r="M7" i="1"/>
  <c r="L24" i="1"/>
  <c r="L36" i="1"/>
  <c r="L13" i="1"/>
  <c r="L10" i="1"/>
  <c r="L15" i="1"/>
  <c r="L14" i="1"/>
  <c r="L26" i="1"/>
  <c r="L28" i="1"/>
  <c r="L30" i="1"/>
  <c r="L32" i="1"/>
  <c r="L35" i="1"/>
  <c r="L18" i="1"/>
  <c r="L38" i="1"/>
  <c r="L5" i="1"/>
  <c r="L21" i="1"/>
  <c r="L19" i="1" l="1"/>
  <c r="L17" i="1"/>
  <c r="M21" i="1"/>
  <c r="M43" i="1"/>
  <c r="M45" i="1"/>
  <c r="M47" i="1"/>
  <c r="M44" i="1"/>
  <c r="M46" i="1"/>
  <c r="L45" i="1"/>
  <c r="L44" i="1"/>
  <c r="L46" i="1"/>
  <c r="L43" i="1"/>
  <c r="L47" i="1"/>
  <c r="M13" i="1"/>
  <c r="M9" i="1"/>
  <c r="M25" i="1"/>
  <c r="M17" i="1"/>
  <c r="M30" i="1"/>
  <c r="M34" i="1"/>
  <c r="M36" i="1"/>
  <c r="M15" i="1"/>
  <c r="M50" i="1"/>
  <c r="M22" i="1"/>
  <c r="M18" i="1"/>
  <c r="M28" i="1"/>
  <c r="M29" i="1"/>
  <c r="M14" i="1"/>
  <c r="M35" i="1"/>
  <c r="M31" i="1"/>
  <c r="M19" i="1"/>
  <c r="M11" i="1"/>
  <c r="M26" i="1"/>
  <c r="M40" i="1"/>
  <c r="M10" i="1"/>
  <c r="M32" i="1"/>
  <c r="M49" i="1"/>
  <c r="M41" i="1"/>
  <c r="M48" i="1"/>
  <c r="M5" i="1"/>
  <c r="M38" i="1"/>
  <c r="M33" i="1"/>
  <c r="M24" i="1"/>
  <c r="N7" i="1"/>
  <c r="M23" i="1"/>
  <c r="M16" i="1"/>
  <c r="M37" i="1"/>
  <c r="N38" i="1" l="1"/>
  <c r="N43" i="1"/>
  <c r="N45" i="1"/>
  <c r="N47" i="1"/>
  <c r="N44" i="1"/>
  <c r="N46" i="1"/>
  <c r="N5" i="1"/>
  <c r="N26" i="1"/>
  <c r="N31" i="1"/>
  <c r="N32" i="1"/>
  <c r="N17" i="1"/>
  <c r="N19" i="1"/>
  <c r="N28" i="1"/>
  <c r="N33" i="1"/>
  <c r="N49" i="1"/>
  <c r="N41" i="1"/>
  <c r="N48" i="1"/>
  <c r="N24" i="1"/>
  <c r="N35" i="1"/>
  <c r="N29" i="1"/>
  <c r="N23" i="1"/>
  <c r="N40" i="1"/>
  <c r="N14" i="1"/>
  <c r="N34" i="1"/>
  <c r="N9" i="1"/>
  <c r="N10" i="1"/>
  <c r="N30" i="1"/>
  <c r="N16" i="1"/>
  <c r="N21" i="1"/>
  <c r="N25" i="1"/>
  <c r="O7" i="1"/>
  <c r="N13" i="1"/>
  <c r="N36" i="1"/>
  <c r="N11" i="1"/>
  <c r="N18" i="1"/>
  <c r="N37" i="1"/>
  <c r="N15" i="1"/>
  <c r="N22" i="1"/>
  <c r="N50" i="1"/>
  <c r="O13" i="1" l="1"/>
  <c r="O43" i="1"/>
  <c r="O45" i="1"/>
  <c r="O47" i="1"/>
  <c r="O44" i="1"/>
  <c r="O46" i="1"/>
  <c r="O21" i="1"/>
  <c r="O28" i="1"/>
  <c r="O31" i="1"/>
  <c r="O14" i="1"/>
  <c r="O25" i="1"/>
  <c r="O40" i="1"/>
  <c r="P7" i="1"/>
  <c r="O9" i="1"/>
  <c r="O34" i="1"/>
  <c r="O32" i="1"/>
  <c r="O23" i="1"/>
  <c r="O35" i="1"/>
  <c r="O15" i="1"/>
  <c r="O5" i="1"/>
  <c r="O41" i="1"/>
  <c r="O48" i="1"/>
  <c r="O49" i="1"/>
  <c r="O11" i="1"/>
  <c r="O29" i="1"/>
  <c r="O30" i="1"/>
  <c r="O37" i="1"/>
  <c r="O19" i="1"/>
  <c r="O33" i="1"/>
  <c r="O38" i="1"/>
  <c r="O24" i="1"/>
  <c r="O26" i="1"/>
  <c r="O50" i="1"/>
  <c r="O36" i="1"/>
  <c r="O10" i="1"/>
  <c r="O18" i="1"/>
  <c r="O16" i="1"/>
  <c r="O17" i="1"/>
  <c r="O22" i="1"/>
  <c r="P40" i="1" l="1"/>
  <c r="P43" i="1"/>
  <c r="P45" i="1"/>
  <c r="P47" i="1"/>
  <c r="P44" i="1"/>
  <c r="P46" i="1"/>
  <c r="P18" i="1"/>
  <c r="P13" i="1"/>
  <c r="P50" i="1"/>
  <c r="Q7" i="1"/>
  <c r="P11" i="1"/>
  <c r="P5" i="1"/>
  <c r="P10" i="1"/>
  <c r="P21" i="1"/>
  <c r="P25" i="1"/>
  <c r="P34" i="1"/>
  <c r="P29" i="1"/>
  <c r="P28" i="1"/>
  <c r="P17" i="1"/>
  <c r="P30" i="1"/>
  <c r="P26" i="1"/>
  <c r="P15" i="1"/>
  <c r="P23" i="1"/>
  <c r="P19" i="1"/>
  <c r="P33" i="1"/>
  <c r="P9" i="1"/>
  <c r="P38" i="1"/>
  <c r="P14" i="1"/>
  <c r="P32" i="1"/>
  <c r="P41" i="1"/>
  <c r="P48" i="1"/>
  <c r="P49" i="1"/>
  <c r="P35" i="1"/>
  <c r="P22" i="1"/>
  <c r="P24" i="1"/>
  <c r="P31" i="1"/>
  <c r="P16" i="1"/>
  <c r="P37" i="1"/>
  <c r="P36" i="1"/>
  <c r="Q44" i="1" l="1"/>
  <c r="Q46" i="1"/>
  <c r="Q43" i="1"/>
  <c r="Q45" i="1"/>
  <c r="Q47" i="1"/>
  <c r="Q41" i="1"/>
  <c r="Q48" i="1"/>
  <c r="Q38" i="1"/>
  <c r="Q10" i="1"/>
  <c r="R7" i="1"/>
  <c r="R29" i="1" s="1"/>
  <c r="Q11" i="1"/>
  <c r="Q25" i="1"/>
  <c r="Q16" i="1"/>
  <c r="Q34" i="1"/>
  <c r="Q36" i="1"/>
  <c r="Q9" i="1"/>
  <c r="Q50" i="1"/>
  <c r="Q13" i="1"/>
  <c r="Q40" i="1"/>
  <c r="Q31" i="1"/>
  <c r="Q32" i="1"/>
  <c r="Q21" i="1"/>
  <c r="Q5" i="1"/>
  <c r="Q29" i="1"/>
  <c r="Q37" i="1"/>
  <c r="Q28" i="1"/>
  <c r="Q30" i="1"/>
  <c r="Q14" i="1"/>
  <c r="Q15" i="1"/>
  <c r="Q18" i="1"/>
  <c r="Q17" i="1"/>
  <c r="Q22" i="1"/>
  <c r="Q24" i="1"/>
  <c r="Q26" i="1"/>
  <c r="Q49" i="1"/>
  <c r="Q23" i="1"/>
  <c r="Q35" i="1"/>
  <c r="Q33" i="1"/>
  <c r="Q19" i="1"/>
  <c r="R41" i="1"/>
  <c r="R18" i="1" l="1"/>
  <c r="R32" i="1"/>
  <c r="R22" i="1"/>
  <c r="R38" i="1"/>
  <c r="R21" i="1"/>
  <c r="R15" i="1"/>
  <c r="R33" i="1"/>
  <c r="R14" i="1"/>
  <c r="R40" i="1"/>
  <c r="R30" i="1"/>
  <c r="R36" i="1"/>
  <c r="R44" i="1"/>
  <c r="R46" i="1"/>
  <c r="R47" i="1"/>
  <c r="R43" i="1"/>
  <c r="R45" i="1"/>
  <c r="R37" i="1"/>
  <c r="R11" i="1"/>
  <c r="R26" i="1"/>
  <c r="R23" i="1"/>
  <c r="S7" i="1"/>
  <c r="S34" i="1" s="1"/>
  <c r="R25" i="1"/>
  <c r="R17" i="1"/>
  <c r="R9" i="1"/>
  <c r="R16" i="1"/>
  <c r="R48" i="1"/>
  <c r="R31" i="1"/>
  <c r="R50" i="1"/>
  <c r="R49" i="1"/>
  <c r="R13" i="1"/>
  <c r="R35" i="1"/>
  <c r="R34" i="1"/>
  <c r="R19" i="1"/>
  <c r="R24" i="1"/>
  <c r="R10" i="1"/>
  <c r="R5" i="1"/>
  <c r="R28" i="1"/>
  <c r="S30" i="1"/>
  <c r="S36" i="1"/>
  <c r="S38" i="1"/>
  <c r="S37" i="1" l="1"/>
  <c r="S50" i="1"/>
  <c r="S24" i="1"/>
  <c r="S49" i="1"/>
  <c r="S14" i="1"/>
  <c r="S31" i="1"/>
  <c r="S9" i="1"/>
  <c r="S44" i="1"/>
  <c r="S46" i="1"/>
  <c r="S43" i="1"/>
  <c r="S45" i="1"/>
  <c r="S47" i="1"/>
  <c r="S10" i="1"/>
  <c r="S18" i="1"/>
  <c r="T7" i="1"/>
  <c r="U7" i="1" s="1"/>
  <c r="S48" i="1"/>
  <c r="S29" i="1"/>
  <c r="S13" i="1"/>
  <c r="S25" i="1"/>
  <c r="S41" i="1"/>
  <c r="S23" i="1"/>
  <c r="S17" i="1"/>
  <c r="S22" i="1"/>
  <c r="S19" i="1"/>
  <c r="S40" i="1"/>
  <c r="S15" i="1"/>
  <c r="S33" i="1"/>
  <c r="S5" i="1"/>
  <c r="S35" i="1"/>
  <c r="S16" i="1"/>
  <c r="S26" i="1"/>
  <c r="S28" i="1"/>
  <c r="S21" i="1"/>
  <c r="S11" i="1"/>
  <c r="S32" i="1"/>
  <c r="T37" i="1"/>
  <c r="T48" i="1" l="1"/>
  <c r="T32" i="1"/>
  <c r="T50" i="1"/>
  <c r="T41" i="1"/>
  <c r="T14" i="1"/>
  <c r="T16" i="1"/>
  <c r="T25" i="1"/>
  <c r="T13" i="1"/>
  <c r="T30" i="1"/>
  <c r="T15" i="1"/>
  <c r="T35" i="1"/>
  <c r="T38" i="1"/>
  <c r="T26" i="1"/>
  <c r="T33" i="1"/>
  <c r="T29" i="1"/>
  <c r="T21" i="1"/>
  <c r="T24" i="1"/>
  <c r="T5" i="1"/>
  <c r="T44" i="1"/>
  <c r="T46" i="1"/>
  <c r="T43" i="1"/>
  <c r="T45" i="1"/>
  <c r="T47" i="1"/>
  <c r="T19" i="1"/>
  <c r="T31" i="1"/>
  <c r="T28" i="1"/>
  <c r="T17" i="1"/>
  <c r="T40" i="1"/>
  <c r="T36" i="1"/>
  <c r="U44" i="1"/>
  <c r="U46" i="1"/>
  <c r="U43" i="1"/>
  <c r="U45" i="1"/>
  <c r="U47" i="1"/>
  <c r="T10" i="1"/>
  <c r="T9" i="1"/>
  <c r="T11" i="1"/>
  <c r="T34" i="1"/>
  <c r="T23" i="1"/>
  <c r="T18" i="1"/>
  <c r="T22" i="1"/>
  <c r="T49" i="1"/>
  <c r="U49" i="1"/>
  <c r="U41" i="1"/>
  <c r="U48" i="1"/>
  <c r="U50" i="1"/>
  <c r="U37" i="1"/>
  <c r="U35" i="1"/>
  <c r="U32" i="1"/>
  <c r="U33" i="1"/>
  <c r="U31" i="1"/>
  <c r="U18" i="1"/>
  <c r="U13" i="1"/>
  <c r="U40" i="1"/>
  <c r="U36" i="1"/>
  <c r="U38" i="1"/>
  <c r="U15" i="1"/>
  <c r="U11" i="1"/>
  <c r="U5" i="1"/>
  <c r="U25" i="1"/>
  <c r="U22" i="1"/>
  <c r="U34" i="1"/>
  <c r="U9" i="1"/>
  <c r="V7" i="1"/>
  <c r="U16" i="1"/>
  <c r="U21" i="1"/>
  <c r="U17" i="1"/>
  <c r="U14" i="1"/>
  <c r="U24" i="1"/>
  <c r="U10" i="1"/>
  <c r="U19" i="1"/>
  <c r="U30" i="1"/>
  <c r="U28" i="1"/>
  <c r="U29" i="1"/>
  <c r="U26" i="1"/>
  <c r="U23" i="1"/>
  <c r="V43" i="1" l="1"/>
  <c r="V45" i="1"/>
  <c r="V47" i="1"/>
  <c r="V44" i="1"/>
  <c r="V46" i="1"/>
  <c r="V49" i="1"/>
  <c r="V41" i="1"/>
  <c r="V48" i="1"/>
  <c r="V50" i="1"/>
  <c r="V37" i="1"/>
  <c r="V35" i="1"/>
  <c r="V30" i="1"/>
  <c r="V34" i="1"/>
  <c r="V33" i="1"/>
  <c r="V22" i="1"/>
  <c r="V31" i="1"/>
  <c r="V40" i="1"/>
  <c r="V25" i="1"/>
  <c r="V9" i="1"/>
  <c r="V5" i="1"/>
  <c r="V36" i="1"/>
  <c r="V29" i="1"/>
  <c r="V26" i="1"/>
  <c r="V14" i="1"/>
  <c r="V10" i="1"/>
  <c r="V13" i="1"/>
  <c r="V11" i="1"/>
  <c r="W7" i="1"/>
  <c r="V16" i="1"/>
  <c r="V18" i="1"/>
  <c r="V21" i="1"/>
  <c r="V24" i="1"/>
  <c r="V17" i="1"/>
  <c r="V19" i="1"/>
  <c r="V38" i="1"/>
  <c r="V28" i="1"/>
  <c r="V15" i="1"/>
  <c r="V32" i="1"/>
  <c r="V23" i="1"/>
  <c r="W43" i="1" l="1"/>
  <c r="W45" i="1"/>
  <c r="W47" i="1"/>
  <c r="W44" i="1"/>
  <c r="W46" i="1"/>
  <c r="W49" i="1"/>
  <c r="W41" i="1"/>
  <c r="W48" i="1"/>
  <c r="W40" i="1"/>
  <c r="W31" i="1"/>
  <c r="W18" i="1"/>
  <c r="W16" i="1"/>
  <c r="W38" i="1"/>
  <c r="W50" i="1"/>
  <c r="W32" i="1"/>
  <c r="W37" i="1"/>
  <c r="W36" i="1"/>
  <c r="W29" i="1"/>
  <c r="W26" i="1"/>
  <c r="W14" i="1"/>
  <c r="W10" i="1"/>
  <c r="W34" i="1"/>
  <c r="W33" i="1"/>
  <c r="W9" i="1"/>
  <c r="W21" i="1"/>
  <c r="W35" i="1"/>
  <c r="W24" i="1"/>
  <c r="W17" i="1"/>
  <c r="W28" i="1"/>
  <c r="W23" i="1"/>
  <c r="W13" i="1"/>
  <c r="W19" i="1"/>
  <c r="W11" i="1"/>
  <c r="W30" i="1"/>
  <c r="W5" i="1"/>
  <c r="W22" i="1"/>
  <c r="W15" i="1"/>
  <c r="W25" i="1"/>
  <c r="X7" i="1"/>
  <c r="X43" i="1" l="1"/>
  <c r="X45" i="1"/>
  <c r="X47" i="1"/>
  <c r="X44" i="1"/>
  <c r="X46" i="1"/>
  <c r="X48" i="1"/>
  <c r="X49" i="1"/>
  <c r="X41" i="1"/>
  <c r="X35" i="1"/>
  <c r="X40" i="1"/>
  <c r="X38" i="1"/>
  <c r="X33" i="1"/>
  <c r="X28" i="1"/>
  <c r="X50" i="1"/>
  <c r="X37" i="1"/>
  <c r="X25" i="1"/>
  <c r="X30" i="1"/>
  <c r="X23" i="1"/>
  <c r="X36" i="1"/>
  <c r="X21" i="1"/>
  <c r="X17" i="1"/>
  <c r="X34" i="1"/>
  <c r="X18" i="1"/>
  <c r="X16" i="1"/>
  <c r="X24" i="1"/>
  <c r="X31" i="1"/>
  <c r="X14" i="1"/>
  <c r="X19" i="1"/>
  <c r="X10" i="1"/>
  <c r="X13" i="1"/>
  <c r="Y7" i="1"/>
  <c r="X32" i="1"/>
  <c r="X5" i="1"/>
  <c r="X9" i="1"/>
  <c r="X29" i="1"/>
  <c r="X26" i="1"/>
  <c r="X22" i="1"/>
  <c r="X15" i="1"/>
  <c r="X11" i="1"/>
  <c r="Y43" i="1" l="1"/>
  <c r="Y45" i="1"/>
  <c r="Y47" i="1"/>
  <c r="Y44" i="1"/>
  <c r="Y46" i="1"/>
  <c r="Y48" i="1"/>
  <c r="Y41" i="1"/>
  <c r="Y49" i="1"/>
  <c r="Y40" i="1"/>
  <c r="Y30" i="1"/>
  <c r="Y38" i="1"/>
  <c r="Y36" i="1"/>
  <c r="Y19" i="1"/>
  <c r="Y14" i="1"/>
  <c r="Y34" i="1"/>
  <c r="Y37" i="1"/>
  <c r="Y35" i="1"/>
  <c r="Y33" i="1"/>
  <c r="Y50" i="1"/>
  <c r="Y21" i="1"/>
  <c r="Y17" i="1"/>
  <c r="Y13" i="1"/>
  <c r="Y9" i="1"/>
  <c r="Y24" i="1"/>
  <c r="Y31" i="1"/>
  <c r="Y10" i="1"/>
  <c r="Y28" i="1"/>
  <c r="Y5" i="1"/>
  <c r="Y23" i="1"/>
  <c r="Y29" i="1"/>
  <c r="Y11" i="1"/>
  <c r="Y18" i="1"/>
  <c r="Y16" i="1"/>
  <c r="Y26" i="1"/>
  <c r="Y25" i="1"/>
  <c r="Z7" i="1"/>
  <c r="Y32" i="1"/>
  <c r="Y22" i="1"/>
  <c r="Y15" i="1"/>
  <c r="Z43" i="1" l="1"/>
  <c r="Z45" i="1"/>
  <c r="Z47" i="1"/>
  <c r="Z44" i="1"/>
  <c r="Z46" i="1"/>
  <c r="Z41" i="1"/>
  <c r="Z48" i="1"/>
  <c r="Z49" i="1"/>
  <c r="Z40" i="1"/>
  <c r="Z38" i="1"/>
  <c r="Z33" i="1"/>
  <c r="Z36" i="1"/>
  <c r="Z31" i="1"/>
  <c r="Z35" i="1"/>
  <c r="Z30" i="1"/>
  <c r="Z23" i="1"/>
  <c r="Z34" i="1"/>
  <c r="Z29" i="1"/>
  <c r="Z26" i="1"/>
  <c r="Z21" i="1"/>
  <c r="Z10" i="1"/>
  <c r="Z5" i="1"/>
  <c r="Z50" i="1"/>
  <c r="Z13" i="1"/>
  <c r="Z9" i="1"/>
  <c r="Z28" i="1"/>
  <c r="Z22" i="1"/>
  <c r="Z19" i="1"/>
  <c r="Z18" i="1"/>
  <c r="Z32" i="1"/>
  <c r="Z24" i="1"/>
  <c r="Z37" i="1"/>
  <c r="Z17" i="1"/>
  <c r="Z14" i="1"/>
  <c r="Z15" i="1"/>
  <c r="Z16" i="1"/>
  <c r="Z25" i="1"/>
  <c r="AA7" i="1"/>
  <c r="Z11" i="1"/>
  <c r="AA46" i="1" l="1"/>
  <c r="AA43" i="1"/>
  <c r="AA45" i="1"/>
  <c r="AA47" i="1"/>
  <c r="AA44" i="1"/>
  <c r="AA48" i="1"/>
  <c r="AA41" i="1"/>
  <c r="AA49" i="1"/>
  <c r="AA40" i="1"/>
  <c r="AA19" i="1"/>
  <c r="AA38" i="1"/>
  <c r="AA36" i="1"/>
  <c r="AA34" i="1"/>
  <c r="AA29" i="1"/>
  <c r="AA26" i="1"/>
  <c r="AA17" i="1"/>
  <c r="AA50" i="1"/>
  <c r="AA37" i="1"/>
  <c r="AA28" i="1"/>
  <c r="AA22" i="1"/>
  <c r="AA18" i="1"/>
  <c r="AA32" i="1"/>
  <c r="AA35" i="1"/>
  <c r="AA21" i="1"/>
  <c r="AA31" i="1"/>
  <c r="AA14" i="1"/>
  <c r="AA10" i="1"/>
  <c r="AA23" i="1"/>
  <c r="AA15" i="1"/>
  <c r="AA5" i="1"/>
  <c r="AB7" i="1"/>
  <c r="AA11" i="1"/>
  <c r="AA16" i="1"/>
  <c r="AA25" i="1"/>
  <c r="AA30" i="1"/>
  <c r="AA9" i="1"/>
  <c r="AA24" i="1"/>
  <c r="AA13" i="1"/>
  <c r="AA33" i="1"/>
  <c r="AB44" i="1" l="1"/>
  <c r="AB46" i="1"/>
  <c r="AB43" i="1"/>
  <c r="AB45" i="1"/>
  <c r="AB47" i="1"/>
  <c r="AB41" i="1"/>
  <c r="AB48" i="1"/>
  <c r="AB49" i="1"/>
  <c r="AB36" i="1"/>
  <c r="AB34" i="1"/>
  <c r="AB29" i="1"/>
  <c r="AB40" i="1"/>
  <c r="AB38" i="1"/>
  <c r="AB33" i="1"/>
  <c r="AB26" i="1"/>
  <c r="AB21" i="1"/>
  <c r="AB50" i="1"/>
  <c r="AB24" i="1"/>
  <c r="AB32" i="1"/>
  <c r="AB37" i="1"/>
  <c r="AB19" i="1"/>
  <c r="AB35" i="1"/>
  <c r="AB23" i="1"/>
  <c r="AB16" i="1"/>
  <c r="AB31" i="1"/>
  <c r="AB14" i="1"/>
  <c r="AB17" i="1"/>
  <c r="AB10" i="1"/>
  <c r="AB28" i="1"/>
  <c r="AB15" i="1"/>
  <c r="AB5" i="1"/>
  <c r="AB11" i="1"/>
  <c r="AC7" i="1"/>
  <c r="AB25" i="1"/>
  <c r="AB30" i="1"/>
  <c r="AB9" i="1"/>
  <c r="AB18" i="1"/>
  <c r="AB13" i="1"/>
  <c r="AB22" i="1"/>
  <c r="AC44" i="1" l="1"/>
  <c r="AC46" i="1"/>
  <c r="AC43" i="1"/>
  <c r="AC47" i="1"/>
  <c r="AC45" i="1"/>
  <c r="AC41" i="1"/>
  <c r="AC48" i="1"/>
  <c r="AC49" i="1"/>
  <c r="AC50" i="1"/>
  <c r="AC38" i="1"/>
  <c r="AC36" i="1"/>
  <c r="AC34" i="1"/>
  <c r="AC29" i="1"/>
  <c r="AC17" i="1"/>
  <c r="AC32" i="1"/>
  <c r="AC28" i="1"/>
  <c r="AC15" i="1"/>
  <c r="AC35" i="1"/>
  <c r="AC23" i="1"/>
  <c r="AC16" i="1"/>
  <c r="AC31" i="1"/>
  <c r="AC24" i="1"/>
  <c r="AD7" i="1"/>
  <c r="AC40" i="1"/>
  <c r="AC37" i="1"/>
  <c r="AC10" i="1"/>
  <c r="AC5" i="1"/>
  <c r="AC11" i="1"/>
  <c r="AC25" i="1"/>
  <c r="AC22" i="1"/>
  <c r="AC19" i="1"/>
  <c r="AC30" i="1"/>
  <c r="AC26" i="1"/>
  <c r="AC13" i="1"/>
  <c r="AC18" i="1"/>
  <c r="AC33" i="1"/>
  <c r="AC21" i="1"/>
  <c r="AC14" i="1"/>
  <c r="AC9" i="1"/>
  <c r="AD44" i="1" l="1"/>
  <c r="AD46" i="1"/>
  <c r="AD43" i="1"/>
  <c r="AD45" i="1"/>
  <c r="AD47" i="1"/>
  <c r="AD48" i="1"/>
  <c r="AD49" i="1"/>
  <c r="AD41" i="1"/>
  <c r="AD34" i="1"/>
  <c r="AD50" i="1"/>
  <c r="AD37" i="1"/>
  <c r="AD32" i="1"/>
  <c r="AD36" i="1"/>
  <c r="AD24" i="1"/>
  <c r="AD28" i="1"/>
  <c r="AD22" i="1"/>
  <c r="AD11" i="1"/>
  <c r="AE7" i="1"/>
  <c r="AD40" i="1"/>
  <c r="AD38" i="1"/>
  <c r="AD31" i="1"/>
  <c r="AD25" i="1"/>
  <c r="AD33" i="1"/>
  <c r="AD17" i="1"/>
  <c r="AD5" i="1"/>
  <c r="AD35" i="1"/>
  <c r="AD23" i="1"/>
  <c r="AD15" i="1"/>
  <c r="AD19" i="1"/>
  <c r="AD30" i="1"/>
  <c r="AD29" i="1"/>
  <c r="AD26" i="1"/>
  <c r="AD13" i="1"/>
  <c r="AD9" i="1"/>
  <c r="AD16" i="1"/>
  <c r="AD14" i="1"/>
  <c r="AD21" i="1"/>
  <c r="AD10" i="1"/>
  <c r="AD18" i="1"/>
  <c r="AE44" i="1" l="1"/>
  <c r="AE46" i="1"/>
  <c r="AE43" i="1"/>
  <c r="AE45" i="1"/>
  <c r="AE47" i="1"/>
  <c r="AE49" i="1"/>
  <c r="AE41" i="1"/>
  <c r="AE48" i="1"/>
  <c r="AE29" i="1"/>
  <c r="AE50" i="1"/>
  <c r="AE28" i="1"/>
  <c r="AE32" i="1"/>
  <c r="AE18" i="1"/>
  <c r="AE13" i="1"/>
  <c r="AE37" i="1"/>
  <c r="AE35" i="1"/>
  <c r="AE40" i="1"/>
  <c r="AE38" i="1"/>
  <c r="AE25" i="1"/>
  <c r="AE24" i="1"/>
  <c r="AF7" i="1"/>
  <c r="AE15" i="1"/>
  <c r="AE11" i="1"/>
  <c r="AE5" i="1"/>
  <c r="AE23" i="1"/>
  <c r="AE19" i="1"/>
  <c r="AE30" i="1"/>
  <c r="AE26" i="1"/>
  <c r="AE22" i="1"/>
  <c r="AE16" i="1"/>
  <c r="AE9" i="1"/>
  <c r="AE36" i="1"/>
  <c r="AE34" i="1"/>
  <c r="AE33" i="1"/>
  <c r="AE31" i="1"/>
  <c r="AE21" i="1"/>
  <c r="AE14" i="1"/>
  <c r="AE10" i="1"/>
  <c r="AE17" i="1"/>
  <c r="AF47" i="1" l="1"/>
  <c r="AF44" i="1"/>
  <c r="AF46" i="1"/>
  <c r="AF45" i="1"/>
  <c r="AF43" i="1"/>
  <c r="AF49" i="1"/>
  <c r="AF41" i="1"/>
  <c r="AF48" i="1"/>
  <c r="AF50" i="1"/>
  <c r="AF37" i="1"/>
  <c r="AF35" i="1"/>
  <c r="AF30" i="1"/>
  <c r="AF34" i="1"/>
  <c r="AF32" i="1"/>
  <c r="AF22" i="1"/>
  <c r="AF31" i="1"/>
  <c r="AF25" i="1"/>
  <c r="AF9" i="1"/>
  <c r="AF33" i="1"/>
  <c r="AF40" i="1"/>
  <c r="AF36" i="1"/>
  <c r="AF15" i="1"/>
  <c r="AF11" i="1"/>
  <c r="AF5" i="1"/>
  <c r="AF23" i="1"/>
  <c r="AF19" i="1"/>
  <c r="AF29" i="1"/>
  <c r="AF28" i="1"/>
  <c r="AF26" i="1"/>
  <c r="AF13" i="1"/>
  <c r="AG7" i="1"/>
  <c r="AF38" i="1"/>
  <c r="AF16" i="1"/>
  <c r="AF18" i="1"/>
  <c r="AF21" i="1"/>
  <c r="AF24" i="1"/>
  <c r="AF14" i="1"/>
  <c r="AF10" i="1"/>
  <c r="AF17" i="1"/>
  <c r="AG43" i="1" l="1"/>
  <c r="AG45" i="1"/>
  <c r="AG47" i="1"/>
  <c r="AG44" i="1"/>
  <c r="AG46" i="1"/>
  <c r="AG49" i="1"/>
  <c r="AG41" i="1"/>
  <c r="AG48" i="1"/>
  <c r="AG40" i="1"/>
  <c r="AG18" i="1"/>
  <c r="AG50" i="1"/>
  <c r="AG31" i="1"/>
  <c r="AG25" i="1"/>
  <c r="AG37" i="1"/>
  <c r="AG35" i="1"/>
  <c r="AG33" i="1"/>
  <c r="AG16" i="1"/>
  <c r="AG38" i="1"/>
  <c r="AG34" i="1"/>
  <c r="AG36" i="1"/>
  <c r="AG32" i="1"/>
  <c r="AG5" i="1"/>
  <c r="AG30" i="1"/>
  <c r="AG14" i="1"/>
  <c r="AG10" i="1"/>
  <c r="AG19" i="1"/>
  <c r="AG15" i="1"/>
  <c r="AG29" i="1"/>
  <c r="AG28" i="1"/>
  <c r="AG26" i="1"/>
  <c r="AG13" i="1"/>
  <c r="AG11" i="1"/>
  <c r="AH7" i="1"/>
  <c r="AG22" i="1"/>
  <c r="AG9" i="1"/>
  <c r="AG21" i="1"/>
  <c r="AG24" i="1"/>
  <c r="AG23" i="1"/>
  <c r="AG17" i="1"/>
  <c r="AH43" i="1" l="1"/>
  <c r="AH45" i="1"/>
  <c r="AH47" i="1"/>
  <c r="AH46" i="1"/>
  <c r="AH44" i="1"/>
  <c r="AH49" i="1"/>
  <c r="AH48" i="1"/>
  <c r="AH41" i="1"/>
  <c r="AH35" i="1"/>
  <c r="AH40" i="1"/>
  <c r="AH38" i="1"/>
  <c r="AH33" i="1"/>
  <c r="AH28" i="1"/>
  <c r="AH50" i="1"/>
  <c r="AH37" i="1"/>
  <c r="AH31" i="1"/>
  <c r="AH25" i="1"/>
  <c r="AH23" i="1"/>
  <c r="AH36" i="1"/>
  <c r="AH32" i="1"/>
  <c r="AH30" i="1"/>
  <c r="AH14" i="1"/>
  <c r="AH10" i="1"/>
  <c r="AH29" i="1"/>
  <c r="AH26" i="1"/>
  <c r="AH15" i="1"/>
  <c r="AH11" i="1"/>
  <c r="AH13" i="1"/>
  <c r="AI7" i="1"/>
  <c r="AH22" i="1"/>
  <c r="AH9" i="1"/>
  <c r="AH16" i="1"/>
  <c r="AH21" i="1"/>
  <c r="AH18" i="1"/>
  <c r="AH34" i="1"/>
  <c r="AH24" i="1"/>
  <c r="AH19" i="1"/>
  <c r="AH17" i="1"/>
  <c r="AH5" i="1"/>
  <c r="AI43" i="1" l="1"/>
  <c r="AI45" i="1"/>
  <c r="AI47" i="1"/>
  <c r="AI44" i="1"/>
  <c r="AI46" i="1"/>
  <c r="AI48" i="1"/>
  <c r="AI49" i="1"/>
  <c r="AI41" i="1"/>
  <c r="AI40" i="1"/>
  <c r="AI50" i="1"/>
  <c r="AI37" i="1"/>
  <c r="AI35" i="1"/>
  <c r="AI33" i="1"/>
  <c r="AI30" i="1"/>
  <c r="AI19" i="1"/>
  <c r="AI14" i="1"/>
  <c r="AI34" i="1"/>
  <c r="AI26" i="1"/>
  <c r="AI38" i="1"/>
  <c r="AI28" i="1"/>
  <c r="AI13" i="1"/>
  <c r="AI11" i="1"/>
  <c r="AJ7" i="1"/>
  <c r="AI22" i="1"/>
  <c r="AI9" i="1"/>
  <c r="AI16" i="1"/>
  <c r="AI25" i="1"/>
  <c r="AI21" i="1"/>
  <c r="AI18" i="1"/>
  <c r="AI24" i="1"/>
  <c r="AI17" i="1"/>
  <c r="AI32" i="1"/>
  <c r="AI36" i="1"/>
  <c r="AI31" i="1"/>
  <c r="AI10" i="1"/>
  <c r="AI23" i="1"/>
  <c r="AI29" i="1"/>
  <c r="AI15" i="1"/>
  <c r="AI5" i="1"/>
  <c r="AJ43" i="1" l="1"/>
  <c r="AJ45" i="1"/>
  <c r="AJ47" i="1"/>
  <c r="AJ44" i="1"/>
  <c r="AJ46" i="1"/>
  <c r="AJ48" i="1"/>
  <c r="AJ41" i="1"/>
  <c r="AJ49" i="1"/>
  <c r="AJ40" i="1"/>
  <c r="AJ38" i="1"/>
  <c r="AJ33" i="1"/>
  <c r="AJ36" i="1"/>
  <c r="AJ31" i="1"/>
  <c r="AJ50" i="1"/>
  <c r="AJ35" i="1"/>
  <c r="AJ37" i="1"/>
  <c r="AJ23" i="1"/>
  <c r="AJ30" i="1"/>
  <c r="AJ26" i="1"/>
  <c r="AJ21" i="1"/>
  <c r="AJ10" i="1"/>
  <c r="AJ5" i="1"/>
  <c r="AJ34" i="1"/>
  <c r="AJ29" i="1"/>
  <c r="AJ17" i="1"/>
  <c r="AJ13" i="1"/>
  <c r="AJ9" i="1"/>
  <c r="AJ22" i="1"/>
  <c r="AJ16" i="1"/>
  <c r="AJ25" i="1"/>
  <c r="AJ18" i="1"/>
  <c r="AJ24" i="1"/>
  <c r="AJ32" i="1"/>
  <c r="AJ14" i="1"/>
  <c r="AK7" i="1"/>
  <c r="AJ28" i="1"/>
  <c r="AJ15" i="1"/>
  <c r="AJ11" i="1"/>
  <c r="AJ19" i="1"/>
  <c r="AK43" i="1" l="1"/>
  <c r="AK45" i="1"/>
  <c r="AK47" i="1"/>
  <c r="AK46" i="1"/>
  <c r="AK44" i="1"/>
  <c r="AK48" i="1"/>
  <c r="AK41" i="1"/>
  <c r="AK49" i="1"/>
  <c r="AK50" i="1"/>
  <c r="AK35" i="1"/>
  <c r="AK33" i="1"/>
  <c r="AK30" i="1"/>
  <c r="AK19" i="1"/>
  <c r="AK26" i="1"/>
  <c r="AK29" i="1"/>
  <c r="AK17" i="1"/>
  <c r="AK34" i="1"/>
  <c r="AK13" i="1"/>
  <c r="AK9" i="1"/>
  <c r="AK21" i="1"/>
  <c r="AK37" i="1"/>
  <c r="AK36" i="1"/>
  <c r="AK16" i="1"/>
  <c r="AK18" i="1"/>
  <c r="AK40" i="1"/>
  <c r="AK25" i="1"/>
  <c r="AK24" i="1"/>
  <c r="AK38" i="1"/>
  <c r="AK32" i="1"/>
  <c r="AK14" i="1"/>
  <c r="AK10" i="1"/>
  <c r="AL7" i="1"/>
  <c r="AK31" i="1"/>
  <c r="AK28" i="1"/>
  <c r="AK23" i="1"/>
  <c r="AK15" i="1"/>
  <c r="AK11" i="1"/>
  <c r="AK22" i="1"/>
  <c r="AK5" i="1"/>
  <c r="AL44" i="1" l="1"/>
  <c r="AL46" i="1"/>
  <c r="AL47" i="1"/>
  <c r="AL43" i="1"/>
  <c r="AL45" i="1"/>
  <c r="AL41" i="1"/>
  <c r="AL48" i="1"/>
  <c r="AL49" i="1"/>
  <c r="AL36" i="1"/>
  <c r="AL34" i="1"/>
  <c r="AL29" i="1"/>
  <c r="AL50" i="1"/>
  <c r="AL40" i="1"/>
  <c r="AL38" i="1"/>
  <c r="AL33" i="1"/>
  <c r="AL26" i="1"/>
  <c r="AL21" i="1"/>
  <c r="AL24" i="1"/>
  <c r="AL37" i="1"/>
  <c r="AL35" i="1"/>
  <c r="AL17" i="1"/>
  <c r="AL22" i="1"/>
  <c r="AL18" i="1"/>
  <c r="AL32" i="1"/>
  <c r="AL31" i="1"/>
  <c r="AL25" i="1"/>
  <c r="AL9" i="1"/>
  <c r="AL30" i="1"/>
  <c r="AL14" i="1"/>
  <c r="AL10" i="1"/>
  <c r="AM7" i="1"/>
  <c r="AL28" i="1"/>
  <c r="AL15" i="1"/>
  <c r="AL23" i="1"/>
  <c r="AL11" i="1"/>
  <c r="AL16" i="1"/>
  <c r="AL5" i="1"/>
  <c r="AL13" i="1"/>
  <c r="AL19" i="1"/>
  <c r="AM44" i="1" l="1"/>
  <c r="AM46" i="1"/>
  <c r="AM43" i="1"/>
  <c r="AM47" i="1"/>
  <c r="AM45" i="1"/>
  <c r="AM41" i="1"/>
  <c r="AM48" i="1"/>
  <c r="AM49" i="1"/>
  <c r="AM50" i="1"/>
  <c r="AM17" i="1"/>
  <c r="AM29" i="1"/>
  <c r="AM15" i="1"/>
  <c r="AM38" i="1"/>
  <c r="AM36" i="1"/>
  <c r="AM34" i="1"/>
  <c r="AM32" i="1"/>
  <c r="AM35" i="1"/>
  <c r="AM26" i="1"/>
  <c r="AM22" i="1"/>
  <c r="AM21" i="1"/>
  <c r="AM18" i="1"/>
  <c r="AM19" i="1"/>
  <c r="AM16" i="1"/>
  <c r="AM40" i="1"/>
  <c r="AM30" i="1"/>
  <c r="AM24" i="1"/>
  <c r="AM14" i="1"/>
  <c r="AM10" i="1"/>
  <c r="AM23" i="1"/>
  <c r="AM33" i="1"/>
  <c r="AM5" i="1"/>
  <c r="AM31" i="1"/>
  <c r="AM28" i="1"/>
  <c r="AM11" i="1"/>
  <c r="AM25" i="1"/>
  <c r="AM9" i="1"/>
  <c r="AM37" i="1"/>
  <c r="AN7" i="1"/>
  <c r="AM13" i="1"/>
  <c r="AN44" i="1" l="1"/>
  <c r="AN46" i="1"/>
  <c r="AN43" i="1"/>
  <c r="AN45" i="1"/>
  <c r="AN47" i="1"/>
  <c r="AN41" i="1"/>
  <c r="AN49" i="1"/>
  <c r="AN48" i="1"/>
  <c r="AN34" i="1"/>
  <c r="AN50" i="1"/>
  <c r="AN37" i="1"/>
  <c r="AN32" i="1"/>
  <c r="AN36" i="1"/>
  <c r="AN29" i="1"/>
  <c r="AN24" i="1"/>
  <c r="AN38" i="1"/>
  <c r="AN28" i="1"/>
  <c r="AN22" i="1"/>
  <c r="AN11" i="1"/>
  <c r="AO7" i="1"/>
  <c r="AN40" i="1"/>
  <c r="AN33" i="1"/>
  <c r="AN19" i="1"/>
  <c r="AN16" i="1"/>
  <c r="AN23" i="1"/>
  <c r="AN35" i="1"/>
  <c r="AN30" i="1"/>
  <c r="AN18" i="1"/>
  <c r="AN14" i="1"/>
  <c r="AN21" i="1"/>
  <c r="AN10" i="1"/>
  <c r="AN5" i="1"/>
  <c r="AN15" i="1"/>
  <c r="AN17" i="1"/>
  <c r="AN31" i="1"/>
  <c r="AN25" i="1"/>
  <c r="AN26" i="1"/>
  <c r="AN9" i="1"/>
  <c r="AN13" i="1"/>
  <c r="AO44" i="1" l="1"/>
  <c r="AO46" i="1"/>
  <c r="AO43" i="1"/>
  <c r="AO45" i="1"/>
  <c r="AO47" i="1"/>
  <c r="AO49" i="1"/>
  <c r="AO41" i="1"/>
  <c r="AO48" i="1"/>
  <c r="AO50" i="1"/>
  <c r="AO38" i="1"/>
  <c r="AO28" i="1"/>
  <c r="AO40" i="1"/>
  <c r="AO36" i="1"/>
  <c r="AO34" i="1"/>
  <c r="AO32" i="1"/>
  <c r="AO18" i="1"/>
  <c r="AO13" i="1"/>
  <c r="AO37" i="1"/>
  <c r="AO29" i="1"/>
  <c r="AO23" i="1"/>
  <c r="AP7" i="1"/>
  <c r="AO35" i="1"/>
  <c r="AO30" i="1"/>
  <c r="AO14" i="1"/>
  <c r="AO10" i="1"/>
  <c r="AO24" i="1"/>
  <c r="AO21" i="1"/>
  <c r="AO17" i="1"/>
  <c r="AO5" i="1"/>
  <c r="AO31" i="1"/>
  <c r="AO11" i="1"/>
  <c r="AO15" i="1"/>
  <c r="AO33" i="1"/>
  <c r="AO26" i="1"/>
  <c r="AO22" i="1"/>
  <c r="AO16" i="1"/>
  <c r="AO25" i="1"/>
  <c r="AO9" i="1"/>
  <c r="AO19" i="1"/>
  <c r="AP43" i="1" l="1"/>
  <c r="AP44" i="1"/>
  <c r="AP46" i="1"/>
  <c r="AP47" i="1"/>
  <c r="AP45" i="1"/>
  <c r="AP49" i="1"/>
  <c r="AP41" i="1"/>
  <c r="AP48" i="1"/>
  <c r="AP50" i="1"/>
  <c r="AP37" i="1"/>
  <c r="AP32" i="1"/>
  <c r="AP35" i="1"/>
  <c r="AP30" i="1"/>
  <c r="AP34" i="1"/>
  <c r="AP38" i="1"/>
  <c r="AP28" i="1"/>
  <c r="AP22" i="1"/>
  <c r="AP40" i="1"/>
  <c r="AP36" i="1"/>
  <c r="AP25" i="1"/>
  <c r="AP9" i="1"/>
  <c r="AP31" i="1"/>
  <c r="AP24" i="1"/>
  <c r="AP15" i="1"/>
  <c r="AP11" i="1"/>
  <c r="AP33" i="1"/>
  <c r="AP21" i="1"/>
  <c r="AP10" i="1"/>
  <c r="AP17" i="1"/>
  <c r="AP5" i="1"/>
  <c r="AP23" i="1"/>
  <c r="AP19" i="1"/>
  <c r="AP26" i="1"/>
  <c r="AP14" i="1"/>
  <c r="AP16" i="1"/>
  <c r="AP29" i="1"/>
  <c r="AP13" i="1"/>
  <c r="AP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1000000}">
      <text>
        <r>
          <rPr>
            <sz val="10"/>
            <rFont val="Arial"/>
            <family val="2"/>
          </rPr>
          <t>Week 1 start date from the course schedule (Mon Aug 31, 2026). Timeline headers are calculated from this.</t>
        </r>
      </text>
    </comment>
  </commentList>
</comments>
</file>

<file path=xl/sharedStrings.xml><?xml version="1.0" encoding="utf-8"?>
<sst xmlns="http://schemas.openxmlformats.org/spreadsheetml/2006/main" count="312" uniqueCount="200">
  <si>
    <t>Baja SAE – Controls  |  Capstone Project Gantt Chart</t>
  </si>
  <si>
    <t>Project start (Mon):</t>
  </si>
  <si>
    <t>Today:</t>
  </si>
  <si>
    <t>Edit the yellow columns (Task, Type, Start, End). Days, phase roll-ups and the bars update automatically. Insert new rows inside a phase to add tasks (copy a row first to keep its formulas).</t>
  </si>
  <si>
    <t>Legend:</t>
  </si>
  <si>
    <t>Deliverable</t>
  </si>
  <si>
    <t>Task</t>
  </si>
  <si>
    <t>Milestone ◆</t>
  </si>
  <si>
    <t>Phase summary</t>
  </si>
  <si>
    <t>Break</t>
  </si>
  <si>
    <t>Course week →</t>
  </si>
  <si>
    <t>ID</t>
  </si>
  <si>
    <t>Phase / Module</t>
  </si>
  <si>
    <t>Task / Deliverable</t>
  </si>
  <si>
    <t>Type</t>
  </si>
  <si>
    <t>Start</t>
  </si>
  <si>
    <t>End / Due</t>
  </si>
  <si>
    <t>Days</t>
  </si>
  <si>
    <t>Pre-Project</t>
  </si>
  <si>
    <t>Phase</t>
  </si>
  <si>
    <t>M00</t>
  </si>
  <si>
    <t>Course Overview</t>
  </si>
  <si>
    <t>Capstone Assignment of Ownership &amp; NDA</t>
  </si>
  <si>
    <t>M01</t>
  </si>
  <si>
    <t>Design Process</t>
  </si>
  <si>
    <t>Team Identity and Contract</t>
  </si>
  <si>
    <t>TR/WTM</t>
  </si>
  <si>
    <t>Weekly</t>
  </si>
  <si>
    <t>Time reporting (TR1–TR25) &amp; weekly team meetings</t>
  </si>
  <si>
    <t>Recurring</t>
  </si>
  <si>
    <t>Preliminary Design Phase</t>
  </si>
  <si>
    <t>M02</t>
  </si>
  <si>
    <t>Voice of the Customer</t>
  </si>
  <si>
    <t>M03</t>
  </si>
  <si>
    <t>Project Definition</t>
  </si>
  <si>
    <t>Project GANTT Chart</t>
  </si>
  <si>
    <t>M04</t>
  </si>
  <si>
    <t>Problem Definition</t>
  </si>
  <si>
    <t>Statement of Work (SOW)</t>
  </si>
  <si>
    <t>PE1</t>
  </si>
  <si>
    <t>1st Peer Evaluation &amp; Team Retrospective</t>
  </si>
  <si>
    <t>Milestone</t>
  </si>
  <si>
    <t>M05</t>
  </si>
  <si>
    <t>Concept Generation</t>
  </si>
  <si>
    <t>Concept Portfolio</t>
  </si>
  <si>
    <t>M06</t>
  </si>
  <si>
    <t>Proof of Concept</t>
  </si>
  <si>
    <t>Proof of Concept Demonstration Video</t>
  </si>
  <si>
    <t>M07</t>
  </si>
  <si>
    <t>Concept Evaluation</t>
  </si>
  <si>
    <t>Preliminary Design Review (PDR)</t>
  </si>
  <si>
    <t>Product Design Phase</t>
  </si>
  <si>
    <t>PE2</t>
  </si>
  <si>
    <t>Product Design</t>
  </si>
  <si>
    <t>2nd Peer Evaluation &amp; Team Retrospective</t>
  </si>
  <si>
    <t>M08a</t>
  </si>
  <si>
    <t>Performance Review, Drawing Package &amp; Budget</t>
  </si>
  <si>
    <t>M08b</t>
  </si>
  <si>
    <t>Updated SOW</t>
  </si>
  <si>
    <t>M08c</t>
  </si>
  <si>
    <t>Critical Design Review (CDR)</t>
  </si>
  <si>
    <t>BLD</t>
  </si>
  <si>
    <t>Finalize design, order parts, start building</t>
  </si>
  <si>
    <t>PE3</t>
  </si>
  <si>
    <t>3rd Peer Evaluation &amp; Team Retrospective</t>
  </si>
  <si>
    <t>Final Design Phase</t>
  </si>
  <si>
    <t>M09</t>
  </si>
  <si>
    <t>1st Product Build/Test</t>
  </si>
  <si>
    <t>1st Deliverable Demonstration Video</t>
  </si>
  <si>
    <t>PE4</t>
  </si>
  <si>
    <t>4th Peer Evaluation &amp; Team Retrospective</t>
  </si>
  <si>
    <t>M10</t>
  </si>
  <si>
    <t>2nd Product Build/Test</t>
  </si>
  <si>
    <t>2nd Deliverable Demonstration Video</t>
  </si>
  <si>
    <t>PE5</t>
  </si>
  <si>
    <t>5th Peer Evaluation &amp; Team Retrospective</t>
  </si>
  <si>
    <t>M11a</t>
  </si>
  <si>
    <t>Product Documentation</t>
  </si>
  <si>
    <t>Finalize Product</t>
  </si>
  <si>
    <t>M11b</t>
  </si>
  <si>
    <t>Final Design Report</t>
  </si>
  <si>
    <t>M11c</t>
  </si>
  <si>
    <t>Senior Design Night Poster</t>
  </si>
  <si>
    <t>M11d</t>
  </si>
  <si>
    <t>Capstone Closeout</t>
  </si>
  <si>
    <t>M11e</t>
  </si>
  <si>
    <t>Senior Exit Survey</t>
  </si>
  <si>
    <t>PE6</t>
  </si>
  <si>
    <t>6th Peer Evaluation</t>
  </si>
  <si>
    <t>SDN</t>
  </si>
  <si>
    <t>Senior Design Night (date TBD – enter when announced)</t>
  </si>
  <si>
    <t>TST0</t>
  </si>
  <si>
    <t>Testing</t>
  </si>
  <si>
    <t>Testing phase begins (1 month before race)</t>
  </si>
  <si>
    <t>RACE</t>
  </si>
  <si>
    <t>Competition</t>
  </si>
  <si>
    <t>Baja SAE Race Day</t>
  </si>
  <si>
    <t>Additional Items  (add your own tasks here)</t>
  </si>
  <si>
    <t>Notes: Due dates assume each deliverable is due the Sunday ending its module's last week — adjust to the actual Canvas due dates. Course week 22 is listed as "Feb 23 – Feb 28" in the syllabus; treated here as Feb 22 – 28.</t>
  </si>
  <si>
    <t>Source: course schedule &amp; Baja SAE – Controls milestone list (provided by Alex). Race day (Apr 29) and testing-phase start (one month prior) per Alex.</t>
  </si>
  <si>
    <t>Capstone Course Schedule (2026–27)</t>
  </si>
  <si>
    <t>Week</t>
  </si>
  <si>
    <t>End</t>
  </si>
  <si>
    <t>Module</t>
  </si>
  <si>
    <t>Time Report</t>
  </si>
  <si>
    <t>Team Meeting</t>
  </si>
  <si>
    <t>Peer Eval / Retro</t>
  </si>
  <si>
    <t>Deliverable(s)</t>
  </si>
  <si>
    <t>M00 – Course Overview</t>
  </si>
  <si>
    <t>–</t>
  </si>
  <si>
    <t>M01 – Overview of the Design Process</t>
  </si>
  <si>
    <t>TR1</t>
  </si>
  <si>
    <t>WTM1</t>
  </si>
  <si>
    <t>M02 – Voice of the Customer</t>
  </si>
  <si>
    <t>TR2</t>
  </si>
  <si>
    <t>WTM2</t>
  </si>
  <si>
    <t>M03 – Project Definition</t>
  </si>
  <si>
    <t>TR3</t>
  </si>
  <si>
    <t>WTM3</t>
  </si>
  <si>
    <t>GANTT Chart</t>
  </si>
  <si>
    <t>M04 – Problem Definition</t>
  </si>
  <si>
    <t>TR4</t>
  </si>
  <si>
    <t>WTM4</t>
  </si>
  <si>
    <t>1st Peer Eval &amp; Retro</t>
  </si>
  <si>
    <t>M05 – Concept Generation</t>
  </si>
  <si>
    <t>TR5</t>
  </si>
  <si>
    <t>WTM5</t>
  </si>
  <si>
    <t>M06 – Proof of Concept</t>
  </si>
  <si>
    <t>TR6</t>
  </si>
  <si>
    <t>WTM6</t>
  </si>
  <si>
    <t>Concept Portfolio; Proof of Concept Demo Video</t>
  </si>
  <si>
    <t>M07 – Concept Evaluation</t>
  </si>
  <si>
    <t>TR7</t>
  </si>
  <si>
    <t>WTM7</t>
  </si>
  <si>
    <t>TR8</t>
  </si>
  <si>
    <t>WTM8</t>
  </si>
  <si>
    <t>Preliminary Design Review</t>
  </si>
  <si>
    <t>M08 – Product Design</t>
  </si>
  <si>
    <t>TR9</t>
  </si>
  <si>
    <t>WTM9</t>
  </si>
  <si>
    <t>2nd Peer Eval &amp; Retro</t>
  </si>
  <si>
    <t>TR10</t>
  </si>
  <si>
    <t>WTM10</t>
  </si>
  <si>
    <t>TR11</t>
  </si>
  <si>
    <t>WTM11</t>
  </si>
  <si>
    <t>Performance Review; Updated SOW; Drawing Package &amp; Budget; Critical Design Review</t>
  </si>
  <si>
    <t>(Finalize design)</t>
  </si>
  <si>
    <t>3rd Peer Eval &amp; Retro</t>
  </si>
  <si>
    <t>Finalize Design, Order Parts, Start Building</t>
  </si>
  <si>
    <t>WINTER BREAK</t>
  </si>
  <si>
    <t>M09 – 1st Product Build/Test</t>
  </si>
  <si>
    <t>TR13</t>
  </si>
  <si>
    <t>WTM13</t>
  </si>
  <si>
    <t>TR14</t>
  </si>
  <si>
    <t>WTM14</t>
  </si>
  <si>
    <t>TR15</t>
  </si>
  <si>
    <t>WTM15</t>
  </si>
  <si>
    <t>TR16</t>
  </si>
  <si>
    <t>WTM16</t>
  </si>
  <si>
    <t>TR17</t>
  </si>
  <si>
    <t>WTM17</t>
  </si>
  <si>
    <t>4th Peer Eval &amp; Retro</t>
  </si>
  <si>
    <t>1st Deliverable Demo Video</t>
  </si>
  <si>
    <t>M10 – 2nd Product Build/Test</t>
  </si>
  <si>
    <t>TR18</t>
  </si>
  <si>
    <t>WTM18</t>
  </si>
  <si>
    <t>TR19</t>
  </si>
  <si>
    <t>WTM19</t>
  </si>
  <si>
    <t>TR20</t>
  </si>
  <si>
    <t>WTM20</t>
  </si>
  <si>
    <t>SPRING BREAK</t>
  </si>
  <si>
    <t>TR21</t>
  </si>
  <si>
    <t>WTM21</t>
  </si>
  <si>
    <t>TR22</t>
  </si>
  <si>
    <t>WTM22</t>
  </si>
  <si>
    <t>5th Peer Eval &amp; Retro</t>
  </si>
  <si>
    <t>2nd Deliverable Demo Video</t>
  </si>
  <si>
    <t>M11 – Product Documentation</t>
  </si>
  <si>
    <t>TR23</t>
  </si>
  <si>
    <t>WTM23</t>
  </si>
  <si>
    <t>TR24</t>
  </si>
  <si>
    <t>WTM24</t>
  </si>
  <si>
    <t>TR25</t>
  </si>
  <si>
    <t>WTM25</t>
  </si>
  <si>
    <t>TR26</t>
  </si>
  <si>
    <t>WTM26</t>
  </si>
  <si>
    <t>6th Peer Eval</t>
  </si>
  <si>
    <t>Baja SAE Race Day (Apr 29); Finalize Product; Final Design Report; Senior Design Night Poster; Capstone Closeout; Senior Exit Survey</t>
  </si>
  <si>
    <t>SENIOR DESIGN NIGHT – TBD</t>
  </si>
  <si>
    <t>Deliverables are listed in the last week of their module. Week 22 shown as Feb 22–28 (syllabus lists Feb 23–28).</t>
  </si>
  <si>
    <t>Metal Factory Permits (Blue, Red, Green)</t>
  </si>
  <si>
    <t>Welding Training</t>
  </si>
  <si>
    <t>Off-the-shelf Part Deadline</t>
  </si>
  <si>
    <t>AdI03</t>
  </si>
  <si>
    <t>AdI01</t>
  </si>
  <si>
    <t>AdI02</t>
  </si>
  <si>
    <t>Individual Trainings</t>
  </si>
  <si>
    <t>Parts Deadline</t>
  </si>
  <si>
    <t>Part Selection Deadline</t>
  </si>
  <si>
    <t>AdI04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</si>
</sst>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&quot;, &quot;yyyy"/>
    <numFmt numFmtId="165" formatCode="m/d"/>
    <numFmt numFmtId="166" formatCode="mmm\ d"/>
  </numFmts>
  <fonts count="1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0F2439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sz val="11"/>
      <name val="Arial"/>
      <family val="2"/>
    </font>
    <font>
      <i/>
      <sz val="9"/>
      <color rgb="FF59595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color rgb="FF0F2439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sz val="11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sz val="11"/>
      <color rgb="FF000000"/>
      <name val="Arial"/>
      <family val="2"/>
    </font>
    <font>
      <b/>
      <sz val="14"/>
      <color rgb="FF0F2439"/>
      <name val="Arial"/>
      <family val="2"/>
    </font>
    <font>
      <sz val="10"/>
      <name val="Arial"/>
      <family val="2"/>
    </font>
    <font>
      <sz val="8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DF0"/>
      </patternFill>
    </fill>
    <fill>
      <patternFill patternType="solid">
        <fgColor rgb="FF2F6EBA"/>
        <bgColor rgb="FF0066CC"/>
      </patternFill>
    </fill>
    <fill>
      <patternFill patternType="solid">
        <fgColor rgb="FF4BACC6"/>
        <bgColor rgb="FF339966"/>
      </patternFill>
    </fill>
    <fill>
      <patternFill patternType="solid">
        <fgColor rgb="FFC00000"/>
        <bgColor rgb="FFFF0000"/>
      </patternFill>
    </fill>
    <fill>
      <patternFill patternType="solid">
        <fgColor rgb="FF7F7F7F"/>
        <bgColor rgb="FF969696"/>
      </patternFill>
    </fill>
    <fill>
      <patternFill patternType="solid">
        <fgColor rgb="FFE7E6E6"/>
        <bgColor rgb="FFD6DCE4"/>
      </patternFill>
    </fill>
    <fill>
      <patternFill patternType="solid">
        <fgColor rgb="FFD6DCE4"/>
        <bgColor rgb="FFD9D9D9"/>
      </patternFill>
    </fill>
    <fill>
      <patternFill patternType="solid">
        <fgColor rgb="FF0F2439"/>
        <bgColor rgb="FF333333"/>
      </patternFill>
    </fill>
    <fill>
      <patternFill patternType="solid">
        <fgColor rgb="FFFFFDF0"/>
        <b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hair">
        <color rgb="FFD9D9D9"/>
      </left>
      <right style="hair">
        <color rgb="FFD9D9D9"/>
      </right>
      <top/>
      <bottom style="hair">
        <color rgb="FFD9D9D9"/>
      </bottom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center"/>
    </xf>
    <xf numFmtId="0" fontId="3" fillId="7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164" fontId="4" fillId="2" borderId="0" xfId="0" applyNumberFormat="1" applyFont="1" applyFill="1"/>
    <xf numFmtId="0" fontId="3" fillId="0" borderId="0" xfId="0" applyFont="1" applyAlignment="1">
      <alignment horizontal="right"/>
    </xf>
    <xf numFmtId="164" fontId="5" fillId="0" borderId="0" xfId="0" applyNumberFormat="1" applyFont="1"/>
    <xf numFmtId="0" fontId="6" fillId="0" borderId="0" xfId="0" applyFont="1"/>
    <xf numFmtId="0" fontId="7" fillId="0" borderId="0" xfId="0" applyFont="1"/>
    <xf numFmtId="0" fontId="0" fillId="3" borderId="0" xfId="0" applyFill="1"/>
    <xf numFmtId="0" fontId="8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9" fillId="0" borderId="0" xfId="0" applyFont="1"/>
    <xf numFmtId="0" fontId="10" fillId="0" borderId="0" xfId="0" applyFont="1" applyAlignment="1">
      <alignment horizontal="right"/>
    </xf>
    <xf numFmtId="0" fontId="11" fillId="8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textRotation="90"/>
    </xf>
    <xf numFmtId="0" fontId="12" fillId="9" borderId="1" xfId="0" applyFont="1" applyFill="1" applyBorder="1" applyAlignment="1">
      <alignment horizontal="center" vertical="center" wrapText="1"/>
    </xf>
    <xf numFmtId="165" fontId="13" fillId="9" borderId="1" xfId="0" applyNumberFormat="1" applyFont="1" applyFill="1" applyBorder="1" applyAlignment="1">
      <alignment horizontal="center" vertical="center" textRotation="90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166" fontId="3" fillId="8" borderId="2" xfId="0" applyNumberFormat="1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4" fillId="10" borderId="3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horizontal="center" vertical="center"/>
    </xf>
    <xf numFmtId="166" fontId="4" fillId="10" borderId="3" xfId="0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6" fillId="0" borderId="0" xfId="0" applyFont="1"/>
    <xf numFmtId="0" fontId="12" fillId="9" borderId="1" xfId="0" applyFont="1" applyFill="1" applyBorder="1" applyAlignment="1">
      <alignment horizontal="center" wrapText="1"/>
    </xf>
    <xf numFmtId="0" fontId="17" fillId="0" borderId="4" xfId="0" applyFont="1" applyBorder="1" applyAlignment="1">
      <alignment horizontal="center" vertical="top"/>
    </xf>
    <xf numFmtId="166" fontId="17" fillId="0" borderId="4" xfId="0" applyNumberFormat="1" applyFont="1" applyBorder="1" applyAlignment="1">
      <alignment horizontal="center" vertical="top"/>
    </xf>
    <xf numFmtId="0" fontId="17" fillId="0" borderId="4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/>
    </xf>
  </cellXfs>
  <cellStyles count="1">
    <cellStyle name="Normal" xfId="0" builtinId="0"/>
  </cellStyles>
  <dxfs count="7">
    <dxf>
      <fill>
        <patternFill>
          <bgColor rgb="FF4BACC6"/>
        </patternFill>
      </fill>
    </dxf>
    <dxf>
      <fill>
        <patternFill>
          <bgColor rgb="FFBDD7EE"/>
        </patternFill>
      </fill>
    </dxf>
    <dxf>
      <fill>
        <patternFill>
          <bgColor rgb="FF2F6EBA"/>
        </patternFill>
      </fill>
    </dxf>
    <dxf>
      <fill>
        <patternFill>
          <bgColor rgb="FF7F7F7F"/>
        </patternFill>
      </fill>
    </dxf>
    <dxf>
      <fill>
        <patternFill>
          <bgColor rgb="FFC00000"/>
        </patternFill>
      </fill>
    </dxf>
    <dxf>
      <fill>
        <patternFill>
          <bgColor rgb="FFE7E6E6"/>
        </patternFill>
      </fill>
    </dxf>
    <dxf>
      <border diagonalUp="0" diagonalDown="0">
        <left style="medium">
          <color rgb="FFFF0000"/>
        </left>
        <right style="medium">
          <color rgb="FFFF0000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7E6E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DF0"/>
      <rgbColor rgb="FFD6DCE4"/>
      <rgbColor rgb="FFFFFF99"/>
      <rgbColor rgb="FF99CCFF"/>
      <rgbColor rgb="FFFF99CC"/>
      <rgbColor rgb="FFCC99FF"/>
      <rgbColor rgb="FFD9D9D9"/>
      <rgbColor rgb="FF2F6EBA"/>
      <rgbColor rgb="FF4BACC6"/>
      <rgbColor rgb="FF99CC00"/>
      <rgbColor rgb="FFFFCC00"/>
      <rgbColor rgb="FFFF9900"/>
      <rgbColor rgb="FFFF6600"/>
      <rgbColor rgb="FF595959"/>
      <rgbColor rgb="FF969696"/>
      <rgbColor rgb="FF0F2439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53"/>
  <sheetViews>
    <sheetView tabSelected="1" zoomScale="90" zoomScaleNormal="90" workbookViewId="0">
      <pane ySplit="7" topLeftCell="A22" activePane="bottomLeft" state="frozen"/>
      <selection pane="bottomLeft" activeCell="F42" sqref="F42"/>
    </sheetView>
  </sheetViews>
  <sheetFormatPr baseColWidth="10" defaultColWidth="8.6640625" defaultRowHeight="15" x14ac:dyDescent="0.2"/>
  <cols>
    <col min="1" max="1" width="7" customWidth="1"/>
    <col min="2" max="2" width="22" customWidth="1"/>
    <col min="3" max="3" width="48" customWidth="1"/>
    <col min="4" max="6" width="12" customWidth="1"/>
    <col min="7" max="7" width="7" customWidth="1"/>
    <col min="8" max="42" width="4.33203125" customWidth="1"/>
  </cols>
  <sheetData>
    <row r="1" spans="1:42" ht="20" x14ac:dyDescent="0.2">
      <c r="A1" s="3" t="s">
        <v>0</v>
      </c>
    </row>
    <row r="2" spans="1:42" x14ac:dyDescent="0.2">
      <c r="A2" s="4" t="s">
        <v>1</v>
      </c>
      <c r="C2" s="5">
        <v>46265</v>
      </c>
      <c r="E2" s="6" t="s">
        <v>2</v>
      </c>
      <c r="F2" s="7">
        <f ca="1">TODAY()</f>
        <v>46297</v>
      </c>
    </row>
    <row r="3" spans="1:42" x14ac:dyDescent="0.2">
      <c r="A3" s="8" t="s">
        <v>3</v>
      </c>
    </row>
    <row r="4" spans="1:42" x14ac:dyDescent="0.2">
      <c r="A4" s="9" t="s">
        <v>4</v>
      </c>
      <c r="H4" s="10"/>
      <c r="I4" s="11" t="s">
        <v>5</v>
      </c>
      <c r="M4" s="12"/>
      <c r="N4" s="11" t="s">
        <v>6</v>
      </c>
      <c r="R4" s="13"/>
      <c r="S4" s="11" t="s">
        <v>7</v>
      </c>
      <c r="W4" s="14"/>
      <c r="X4" s="11" t="s">
        <v>8</v>
      </c>
      <c r="AB4" s="15"/>
      <c r="AC4" s="11" t="s">
        <v>9</v>
      </c>
    </row>
    <row r="5" spans="1:42" x14ac:dyDescent="0.2">
      <c r="H5" s="16" t="str">
        <f t="shared" ref="H5:AP5" si="0">IF(OR(H7=$C$2,DAY(H7)&lt;=7),TEXT(H7,"mmm"),"")</f>
        <v>Aug</v>
      </c>
      <c r="I5" s="16" t="str">
        <f t="shared" si="0"/>
        <v>Sep</v>
      </c>
      <c r="J5" s="16" t="str">
        <f t="shared" si="0"/>
        <v/>
      </c>
      <c r="K5" s="16" t="str">
        <f t="shared" si="0"/>
        <v/>
      </c>
      <c r="L5" s="16" t="str">
        <f t="shared" si="0"/>
        <v/>
      </c>
      <c r="M5" s="16" t="str">
        <f t="shared" si="0"/>
        <v>Oct</v>
      </c>
      <c r="N5" s="16" t="str">
        <f t="shared" si="0"/>
        <v/>
      </c>
      <c r="O5" s="16" t="str">
        <f t="shared" si="0"/>
        <v/>
      </c>
      <c r="P5" s="16" t="str">
        <f t="shared" si="0"/>
        <v/>
      </c>
      <c r="Q5" s="16" t="str">
        <f t="shared" si="0"/>
        <v>Nov</v>
      </c>
      <c r="R5" s="16" t="str">
        <f t="shared" si="0"/>
        <v/>
      </c>
      <c r="S5" s="16" t="str">
        <f t="shared" si="0"/>
        <v/>
      </c>
      <c r="T5" s="16" t="str">
        <f t="shared" si="0"/>
        <v/>
      </c>
      <c r="U5" s="16" t="str">
        <f t="shared" si="0"/>
        <v/>
      </c>
      <c r="V5" s="16" t="str">
        <f t="shared" si="0"/>
        <v>Dec</v>
      </c>
      <c r="W5" s="16" t="str">
        <f t="shared" si="0"/>
        <v/>
      </c>
      <c r="X5" s="16" t="str">
        <f t="shared" si="0"/>
        <v/>
      </c>
      <c r="Y5" s="16" t="str">
        <f t="shared" si="0"/>
        <v/>
      </c>
      <c r="Z5" s="16" t="str">
        <f t="shared" si="0"/>
        <v>Jan</v>
      </c>
      <c r="AA5" s="16" t="str">
        <f t="shared" si="0"/>
        <v/>
      </c>
      <c r="AB5" s="16" t="str">
        <f t="shared" si="0"/>
        <v/>
      </c>
      <c r="AC5" s="16" t="str">
        <f t="shared" si="0"/>
        <v/>
      </c>
      <c r="AD5" s="16" t="str">
        <f t="shared" si="0"/>
        <v>Feb</v>
      </c>
      <c r="AE5" s="16" t="str">
        <f t="shared" si="0"/>
        <v/>
      </c>
      <c r="AF5" s="16" t="str">
        <f t="shared" si="0"/>
        <v/>
      </c>
      <c r="AG5" s="16" t="str">
        <f t="shared" si="0"/>
        <v/>
      </c>
      <c r="AH5" s="16" t="str">
        <f t="shared" si="0"/>
        <v>Mar</v>
      </c>
      <c r="AI5" s="16" t="str">
        <f t="shared" si="0"/>
        <v/>
      </c>
      <c r="AJ5" s="16" t="str">
        <f t="shared" si="0"/>
        <v/>
      </c>
      <c r="AK5" s="16" t="str">
        <f t="shared" si="0"/>
        <v/>
      </c>
      <c r="AL5" s="16" t="str">
        <f t="shared" si="0"/>
        <v/>
      </c>
      <c r="AM5" s="16" t="str">
        <f t="shared" si="0"/>
        <v>Apr</v>
      </c>
      <c r="AN5" s="16" t="str">
        <f t="shared" si="0"/>
        <v/>
      </c>
      <c r="AO5" s="16" t="str">
        <f t="shared" si="0"/>
        <v/>
      </c>
      <c r="AP5" s="16" t="str">
        <f t="shared" si="0"/>
        <v/>
      </c>
    </row>
    <row r="6" spans="1:42" ht="26" x14ac:dyDescent="0.2">
      <c r="G6" s="17" t="s">
        <v>10</v>
      </c>
      <c r="H6" s="18">
        <v>1</v>
      </c>
      <c r="I6" s="18">
        <v>2</v>
      </c>
      <c r="J6" s="18">
        <v>3</v>
      </c>
      <c r="K6" s="18">
        <v>4</v>
      </c>
      <c r="L6" s="18">
        <v>5</v>
      </c>
      <c r="M6" s="18">
        <v>6</v>
      </c>
      <c r="N6" s="18">
        <v>7</v>
      </c>
      <c r="O6" s="18">
        <v>8</v>
      </c>
      <c r="P6" s="18">
        <v>9</v>
      </c>
      <c r="Q6" s="18">
        <v>10</v>
      </c>
      <c r="R6" s="18">
        <v>11</v>
      </c>
      <c r="S6" s="18">
        <v>12</v>
      </c>
      <c r="T6" s="18">
        <v>13</v>
      </c>
      <c r="U6" s="18">
        <v>14</v>
      </c>
      <c r="V6" s="18">
        <v>15</v>
      </c>
      <c r="W6" s="19" t="s">
        <v>9</v>
      </c>
      <c r="X6" s="19" t="s">
        <v>9</v>
      </c>
      <c r="Y6" s="19" t="s">
        <v>9</v>
      </c>
      <c r="Z6" s="19" t="s">
        <v>9</v>
      </c>
      <c r="AA6" s="18">
        <v>16</v>
      </c>
      <c r="AB6" s="18">
        <v>17</v>
      </c>
      <c r="AC6" s="18">
        <v>18</v>
      </c>
      <c r="AD6" s="18">
        <v>19</v>
      </c>
      <c r="AE6" s="18">
        <v>20</v>
      </c>
      <c r="AF6" s="18">
        <v>21</v>
      </c>
      <c r="AG6" s="18">
        <v>22</v>
      </c>
      <c r="AH6" s="18">
        <v>23</v>
      </c>
      <c r="AI6" s="19" t="s">
        <v>9</v>
      </c>
      <c r="AJ6" s="18">
        <v>24</v>
      </c>
      <c r="AK6" s="18">
        <v>25</v>
      </c>
      <c r="AL6" s="18">
        <v>26</v>
      </c>
      <c r="AM6" s="18">
        <v>27</v>
      </c>
      <c r="AN6" s="18">
        <v>28</v>
      </c>
      <c r="AO6" s="18">
        <v>29</v>
      </c>
      <c r="AP6" s="18">
        <v>30</v>
      </c>
    </row>
    <row r="7" spans="1:42" ht="39.75" customHeight="1" x14ac:dyDescent="0.2">
      <c r="A7" s="20" t="s">
        <v>11</v>
      </c>
      <c r="B7" s="20" t="s">
        <v>12</v>
      </c>
      <c r="C7" s="20" t="s">
        <v>13</v>
      </c>
      <c r="D7" s="20" t="s">
        <v>14</v>
      </c>
      <c r="E7" s="20" t="s">
        <v>15</v>
      </c>
      <c r="F7" s="20" t="s">
        <v>16</v>
      </c>
      <c r="G7" s="20" t="s">
        <v>17</v>
      </c>
      <c r="H7" s="21">
        <f>$C$2</f>
        <v>46265</v>
      </c>
      <c r="I7" s="21">
        <f t="shared" ref="I7:AP7" si="1">H7+7</f>
        <v>46272</v>
      </c>
      <c r="J7" s="21">
        <f t="shared" si="1"/>
        <v>46279</v>
      </c>
      <c r="K7" s="21">
        <f t="shared" si="1"/>
        <v>46286</v>
      </c>
      <c r="L7" s="21">
        <f t="shared" si="1"/>
        <v>46293</v>
      </c>
      <c r="M7" s="21">
        <f t="shared" si="1"/>
        <v>46300</v>
      </c>
      <c r="N7" s="21">
        <f t="shared" si="1"/>
        <v>46307</v>
      </c>
      <c r="O7" s="21">
        <f t="shared" si="1"/>
        <v>46314</v>
      </c>
      <c r="P7" s="21">
        <f t="shared" si="1"/>
        <v>46321</v>
      </c>
      <c r="Q7" s="21">
        <f t="shared" si="1"/>
        <v>46328</v>
      </c>
      <c r="R7" s="21">
        <f t="shared" si="1"/>
        <v>46335</v>
      </c>
      <c r="S7" s="21">
        <f t="shared" si="1"/>
        <v>46342</v>
      </c>
      <c r="T7" s="21">
        <f t="shared" si="1"/>
        <v>46349</v>
      </c>
      <c r="U7" s="21">
        <f t="shared" si="1"/>
        <v>46356</v>
      </c>
      <c r="V7" s="21">
        <f t="shared" si="1"/>
        <v>46363</v>
      </c>
      <c r="W7" s="21">
        <f t="shared" si="1"/>
        <v>46370</v>
      </c>
      <c r="X7" s="21">
        <f t="shared" si="1"/>
        <v>46377</v>
      </c>
      <c r="Y7" s="21">
        <f t="shared" si="1"/>
        <v>46384</v>
      </c>
      <c r="Z7" s="21">
        <f t="shared" si="1"/>
        <v>46391</v>
      </c>
      <c r="AA7" s="21">
        <f t="shared" si="1"/>
        <v>46398</v>
      </c>
      <c r="AB7" s="21">
        <f t="shared" si="1"/>
        <v>46405</v>
      </c>
      <c r="AC7" s="21">
        <f t="shared" si="1"/>
        <v>46412</v>
      </c>
      <c r="AD7" s="21">
        <f t="shared" si="1"/>
        <v>46419</v>
      </c>
      <c r="AE7" s="21">
        <f t="shared" si="1"/>
        <v>46426</v>
      </c>
      <c r="AF7" s="21">
        <f t="shared" si="1"/>
        <v>46433</v>
      </c>
      <c r="AG7" s="21">
        <f t="shared" si="1"/>
        <v>46440</v>
      </c>
      <c r="AH7" s="21">
        <f t="shared" si="1"/>
        <v>46447</v>
      </c>
      <c r="AI7" s="21">
        <f t="shared" si="1"/>
        <v>46454</v>
      </c>
      <c r="AJ7" s="21">
        <f t="shared" si="1"/>
        <v>46461</v>
      </c>
      <c r="AK7" s="21">
        <f t="shared" si="1"/>
        <v>46468</v>
      </c>
      <c r="AL7" s="21">
        <f t="shared" si="1"/>
        <v>46475</v>
      </c>
      <c r="AM7" s="21">
        <f t="shared" si="1"/>
        <v>46482</v>
      </c>
      <c r="AN7" s="21">
        <f t="shared" si="1"/>
        <v>46489</v>
      </c>
      <c r="AO7" s="21">
        <f t="shared" si="1"/>
        <v>46496</v>
      </c>
      <c r="AP7" s="21">
        <f t="shared" si="1"/>
        <v>46503</v>
      </c>
    </row>
    <row r="8" spans="1:42" ht="18" customHeight="1" x14ac:dyDescent="0.2">
      <c r="A8" s="22"/>
      <c r="B8" s="23"/>
      <c r="C8" s="23" t="s">
        <v>18</v>
      </c>
      <c r="D8" s="22" t="s">
        <v>19</v>
      </c>
      <c r="E8" s="24">
        <f>IF(COUNT(E9:E11)=0,"",MIN(E9:E11))</f>
        <v>46265</v>
      </c>
      <c r="F8" s="24">
        <f>IF(COUNT(F9:F11)=0,"",MAX(F9:F11))</f>
        <v>46502</v>
      </c>
      <c r="G8" s="22">
        <f t="shared" ref="G8:G50" si="2">IF(OR(E8="",F8=""),"",F8-E8+1)</f>
        <v>238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</row>
    <row r="9" spans="1:42" ht="18" customHeight="1" x14ac:dyDescent="0.2">
      <c r="A9" s="26" t="s">
        <v>20</v>
      </c>
      <c r="B9" s="27" t="s">
        <v>21</v>
      </c>
      <c r="C9" s="28" t="s">
        <v>22</v>
      </c>
      <c r="D9" s="29" t="s">
        <v>5</v>
      </c>
      <c r="E9" s="30">
        <v>46265</v>
      </c>
      <c r="F9" s="30">
        <v>46278</v>
      </c>
      <c r="G9" s="26">
        <f t="shared" si="2"/>
        <v>14</v>
      </c>
      <c r="H9" s="31" t="str">
        <f t="shared" ref="H9:Q11" si="3">IF(AND($D9="Milestone",$F9&lt;&gt;"",$F9&gt;=H$7,$F9&lt;=H$7+6),"◆","")</f>
        <v/>
      </c>
      <c r="I9" s="31" t="str">
        <f t="shared" si="3"/>
        <v/>
      </c>
      <c r="J9" s="31" t="str">
        <f t="shared" si="3"/>
        <v/>
      </c>
      <c r="K9" s="31" t="str">
        <f t="shared" si="3"/>
        <v/>
      </c>
      <c r="L9" s="31" t="str">
        <f t="shared" si="3"/>
        <v/>
      </c>
      <c r="M9" s="31" t="str">
        <f t="shared" si="3"/>
        <v/>
      </c>
      <c r="N9" s="31" t="str">
        <f t="shared" si="3"/>
        <v/>
      </c>
      <c r="O9" s="31" t="str">
        <f t="shared" si="3"/>
        <v/>
      </c>
      <c r="P9" s="31" t="str">
        <f t="shared" si="3"/>
        <v/>
      </c>
      <c r="Q9" s="31" t="str">
        <f t="shared" si="3"/>
        <v/>
      </c>
      <c r="R9" s="31" t="str">
        <f t="shared" ref="R9:AA11" si="4">IF(AND($D9="Milestone",$F9&lt;&gt;"",$F9&gt;=R$7,$F9&lt;=R$7+6),"◆","")</f>
        <v/>
      </c>
      <c r="S9" s="31" t="str">
        <f t="shared" si="4"/>
        <v/>
      </c>
      <c r="T9" s="31" t="str">
        <f t="shared" si="4"/>
        <v/>
      </c>
      <c r="U9" s="31" t="str">
        <f t="shared" si="4"/>
        <v/>
      </c>
      <c r="V9" s="31" t="str">
        <f t="shared" si="4"/>
        <v/>
      </c>
      <c r="W9" s="31" t="str">
        <f t="shared" si="4"/>
        <v/>
      </c>
      <c r="X9" s="31" t="str">
        <f t="shared" si="4"/>
        <v/>
      </c>
      <c r="Y9" s="31" t="str">
        <f t="shared" si="4"/>
        <v/>
      </c>
      <c r="Z9" s="31" t="str">
        <f t="shared" si="4"/>
        <v/>
      </c>
      <c r="AA9" s="31" t="str">
        <f t="shared" si="4"/>
        <v/>
      </c>
      <c r="AB9" s="31" t="str">
        <f t="shared" ref="AB9:AP11" si="5">IF(AND($D9="Milestone",$F9&lt;&gt;"",$F9&gt;=AB$7,$F9&lt;=AB$7+6),"◆","")</f>
        <v/>
      </c>
      <c r="AC9" s="31" t="str">
        <f t="shared" si="5"/>
        <v/>
      </c>
      <c r="AD9" s="31" t="str">
        <f t="shared" si="5"/>
        <v/>
      </c>
      <c r="AE9" s="31" t="str">
        <f t="shared" si="5"/>
        <v/>
      </c>
      <c r="AF9" s="31" t="str">
        <f t="shared" si="5"/>
        <v/>
      </c>
      <c r="AG9" s="31" t="str">
        <f t="shared" si="5"/>
        <v/>
      </c>
      <c r="AH9" s="31" t="str">
        <f t="shared" si="5"/>
        <v/>
      </c>
      <c r="AI9" s="31" t="str">
        <f t="shared" si="5"/>
        <v/>
      </c>
      <c r="AJ9" s="31" t="str">
        <f t="shared" si="5"/>
        <v/>
      </c>
      <c r="AK9" s="31" t="str">
        <f t="shared" si="5"/>
        <v/>
      </c>
      <c r="AL9" s="31" t="str">
        <f t="shared" si="5"/>
        <v/>
      </c>
      <c r="AM9" s="31" t="str">
        <f t="shared" si="5"/>
        <v/>
      </c>
      <c r="AN9" s="31" t="str">
        <f t="shared" si="5"/>
        <v/>
      </c>
      <c r="AO9" s="31" t="str">
        <f t="shared" si="5"/>
        <v/>
      </c>
      <c r="AP9" s="31" t="str">
        <f t="shared" si="5"/>
        <v/>
      </c>
    </row>
    <row r="10" spans="1:42" ht="18" customHeight="1" x14ac:dyDescent="0.2">
      <c r="A10" s="26" t="s">
        <v>23</v>
      </c>
      <c r="B10" s="27" t="s">
        <v>24</v>
      </c>
      <c r="C10" s="28" t="s">
        <v>25</v>
      </c>
      <c r="D10" s="29" t="s">
        <v>5</v>
      </c>
      <c r="E10" s="30">
        <v>46279</v>
      </c>
      <c r="F10" s="30">
        <v>46285</v>
      </c>
      <c r="G10" s="26">
        <f t="shared" si="2"/>
        <v>7</v>
      </c>
      <c r="H10" s="31" t="str">
        <f t="shared" si="3"/>
        <v/>
      </c>
      <c r="I10" s="31" t="str">
        <f t="shared" si="3"/>
        <v/>
      </c>
      <c r="J10" s="31" t="str">
        <f t="shared" si="3"/>
        <v/>
      </c>
      <c r="K10" s="31" t="str">
        <f t="shared" si="3"/>
        <v/>
      </c>
      <c r="L10" s="31" t="str">
        <f t="shared" si="3"/>
        <v/>
      </c>
      <c r="M10" s="31" t="str">
        <f t="shared" si="3"/>
        <v/>
      </c>
      <c r="N10" s="31" t="str">
        <f t="shared" si="3"/>
        <v/>
      </c>
      <c r="O10" s="31" t="str">
        <f t="shared" si="3"/>
        <v/>
      </c>
      <c r="P10" s="31" t="str">
        <f t="shared" si="3"/>
        <v/>
      </c>
      <c r="Q10" s="31" t="str">
        <f t="shared" si="3"/>
        <v/>
      </c>
      <c r="R10" s="31" t="str">
        <f t="shared" si="4"/>
        <v/>
      </c>
      <c r="S10" s="31" t="str">
        <f t="shared" si="4"/>
        <v/>
      </c>
      <c r="T10" s="31" t="str">
        <f t="shared" si="4"/>
        <v/>
      </c>
      <c r="U10" s="31" t="str">
        <f t="shared" si="4"/>
        <v/>
      </c>
      <c r="V10" s="31" t="str">
        <f t="shared" si="4"/>
        <v/>
      </c>
      <c r="W10" s="31" t="str">
        <f t="shared" si="4"/>
        <v/>
      </c>
      <c r="X10" s="31" t="str">
        <f t="shared" si="4"/>
        <v/>
      </c>
      <c r="Y10" s="31" t="str">
        <f t="shared" si="4"/>
        <v/>
      </c>
      <c r="Z10" s="31" t="str">
        <f t="shared" si="4"/>
        <v/>
      </c>
      <c r="AA10" s="31" t="str">
        <f t="shared" si="4"/>
        <v/>
      </c>
      <c r="AB10" s="31" t="str">
        <f t="shared" si="5"/>
        <v/>
      </c>
      <c r="AC10" s="31" t="str">
        <f t="shared" si="5"/>
        <v/>
      </c>
      <c r="AD10" s="31" t="str">
        <f t="shared" si="5"/>
        <v/>
      </c>
      <c r="AE10" s="31" t="str">
        <f t="shared" si="5"/>
        <v/>
      </c>
      <c r="AF10" s="31" t="str">
        <f t="shared" si="5"/>
        <v/>
      </c>
      <c r="AG10" s="31" t="str">
        <f t="shared" si="5"/>
        <v/>
      </c>
      <c r="AH10" s="31" t="str">
        <f t="shared" si="5"/>
        <v/>
      </c>
      <c r="AI10" s="31" t="str">
        <f t="shared" si="5"/>
        <v/>
      </c>
      <c r="AJ10" s="31" t="str">
        <f t="shared" si="5"/>
        <v/>
      </c>
      <c r="AK10" s="31" t="str">
        <f t="shared" si="5"/>
        <v/>
      </c>
      <c r="AL10" s="31" t="str">
        <f t="shared" si="5"/>
        <v/>
      </c>
      <c r="AM10" s="31" t="str">
        <f t="shared" si="5"/>
        <v/>
      </c>
      <c r="AN10" s="31" t="str">
        <f t="shared" si="5"/>
        <v/>
      </c>
      <c r="AO10" s="31" t="str">
        <f t="shared" si="5"/>
        <v/>
      </c>
      <c r="AP10" s="31" t="str">
        <f t="shared" si="5"/>
        <v/>
      </c>
    </row>
    <row r="11" spans="1:42" ht="18" customHeight="1" x14ac:dyDescent="0.2">
      <c r="A11" s="26" t="s">
        <v>26</v>
      </c>
      <c r="B11" s="27" t="s">
        <v>27</v>
      </c>
      <c r="C11" s="28" t="s">
        <v>28</v>
      </c>
      <c r="D11" s="29" t="s">
        <v>29</v>
      </c>
      <c r="E11" s="30">
        <v>46279</v>
      </c>
      <c r="F11" s="30">
        <v>46502</v>
      </c>
      <c r="G11" s="26">
        <f t="shared" si="2"/>
        <v>224</v>
      </c>
      <c r="H11" s="31" t="str">
        <f t="shared" si="3"/>
        <v/>
      </c>
      <c r="I11" s="31" t="str">
        <f t="shared" si="3"/>
        <v/>
      </c>
      <c r="J11" s="31" t="str">
        <f t="shared" si="3"/>
        <v/>
      </c>
      <c r="K11" s="31" t="str">
        <f t="shared" si="3"/>
        <v/>
      </c>
      <c r="L11" s="31" t="str">
        <f t="shared" si="3"/>
        <v/>
      </c>
      <c r="M11" s="31" t="str">
        <f t="shared" si="3"/>
        <v/>
      </c>
      <c r="N11" s="31" t="str">
        <f t="shared" si="3"/>
        <v/>
      </c>
      <c r="O11" s="31" t="str">
        <f t="shared" si="3"/>
        <v/>
      </c>
      <c r="P11" s="31" t="str">
        <f t="shared" si="3"/>
        <v/>
      </c>
      <c r="Q11" s="31" t="str">
        <f t="shared" si="3"/>
        <v/>
      </c>
      <c r="R11" s="31" t="str">
        <f t="shared" si="4"/>
        <v/>
      </c>
      <c r="S11" s="31" t="str">
        <f t="shared" si="4"/>
        <v/>
      </c>
      <c r="T11" s="31" t="str">
        <f t="shared" si="4"/>
        <v/>
      </c>
      <c r="U11" s="31" t="str">
        <f t="shared" si="4"/>
        <v/>
      </c>
      <c r="V11" s="31" t="str">
        <f t="shared" si="4"/>
        <v/>
      </c>
      <c r="W11" s="31" t="str">
        <f t="shared" si="4"/>
        <v/>
      </c>
      <c r="X11" s="31" t="str">
        <f t="shared" si="4"/>
        <v/>
      </c>
      <c r="Y11" s="31" t="str">
        <f t="shared" si="4"/>
        <v/>
      </c>
      <c r="Z11" s="31" t="str">
        <f t="shared" si="4"/>
        <v/>
      </c>
      <c r="AA11" s="31" t="str">
        <f t="shared" si="4"/>
        <v/>
      </c>
      <c r="AB11" s="31" t="str">
        <f t="shared" si="5"/>
        <v/>
      </c>
      <c r="AC11" s="31" t="str">
        <f t="shared" si="5"/>
        <v/>
      </c>
      <c r="AD11" s="31" t="str">
        <f t="shared" si="5"/>
        <v/>
      </c>
      <c r="AE11" s="31" t="str">
        <f t="shared" si="5"/>
        <v/>
      </c>
      <c r="AF11" s="31" t="str">
        <f t="shared" si="5"/>
        <v/>
      </c>
      <c r="AG11" s="31" t="str">
        <f t="shared" si="5"/>
        <v/>
      </c>
      <c r="AH11" s="31" t="str">
        <f t="shared" si="5"/>
        <v/>
      </c>
      <c r="AI11" s="31" t="str">
        <f t="shared" si="5"/>
        <v/>
      </c>
      <c r="AJ11" s="31" t="str">
        <f t="shared" si="5"/>
        <v/>
      </c>
      <c r="AK11" s="31" t="str">
        <f t="shared" si="5"/>
        <v/>
      </c>
      <c r="AL11" s="31" t="str">
        <f t="shared" si="5"/>
        <v/>
      </c>
      <c r="AM11" s="31" t="str">
        <f t="shared" si="5"/>
        <v/>
      </c>
      <c r="AN11" s="31" t="str">
        <f t="shared" si="5"/>
        <v/>
      </c>
      <c r="AO11" s="31" t="str">
        <f t="shared" si="5"/>
        <v/>
      </c>
      <c r="AP11" s="31" t="str">
        <f t="shared" si="5"/>
        <v/>
      </c>
    </row>
    <row r="12" spans="1:42" ht="18" customHeight="1" x14ac:dyDescent="0.2">
      <c r="A12" s="22"/>
      <c r="B12" s="23"/>
      <c r="C12" s="23" t="s">
        <v>30</v>
      </c>
      <c r="D12" s="22" t="s">
        <v>19</v>
      </c>
      <c r="E12" s="24">
        <f>IF(COUNT(E13:E19)=0,"",MIN(E13:E19))</f>
        <v>46286</v>
      </c>
      <c r="F12" s="24">
        <f>IF(COUNT(F13:F19)=0,"",MAX(F13:F19))</f>
        <v>46334</v>
      </c>
      <c r="G12" s="22">
        <f t="shared" si="2"/>
        <v>49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</row>
    <row r="13" spans="1:42" ht="18" customHeight="1" x14ac:dyDescent="0.2">
      <c r="A13" s="26" t="s">
        <v>31</v>
      </c>
      <c r="B13" s="27" t="s">
        <v>32</v>
      </c>
      <c r="C13" s="28" t="s">
        <v>32</v>
      </c>
      <c r="D13" s="29" t="s">
        <v>5</v>
      </c>
      <c r="E13" s="30">
        <v>46286</v>
      </c>
      <c r="F13" s="30">
        <v>46292</v>
      </c>
      <c r="G13" s="26">
        <f t="shared" si="2"/>
        <v>7</v>
      </c>
      <c r="H13" s="31" t="str">
        <f t="shared" ref="H13:Q19" si="6">IF(AND($D13="Milestone",$F13&lt;&gt;"",$F13&gt;=H$7,$F13&lt;=H$7+6),"◆","")</f>
        <v/>
      </c>
      <c r="I13" s="31" t="str">
        <f t="shared" si="6"/>
        <v/>
      </c>
      <c r="J13" s="31" t="str">
        <f t="shared" si="6"/>
        <v/>
      </c>
      <c r="K13" s="31" t="str">
        <f t="shared" si="6"/>
        <v/>
      </c>
      <c r="L13" s="31" t="str">
        <f t="shared" si="6"/>
        <v/>
      </c>
      <c r="M13" s="31" t="str">
        <f t="shared" si="6"/>
        <v/>
      </c>
      <c r="N13" s="31" t="str">
        <f t="shared" si="6"/>
        <v/>
      </c>
      <c r="O13" s="31" t="str">
        <f t="shared" si="6"/>
        <v/>
      </c>
      <c r="P13" s="31" t="str">
        <f t="shared" si="6"/>
        <v/>
      </c>
      <c r="Q13" s="31" t="str">
        <f t="shared" si="6"/>
        <v/>
      </c>
      <c r="R13" s="31" t="str">
        <f t="shared" ref="R13:AA19" si="7">IF(AND($D13="Milestone",$F13&lt;&gt;"",$F13&gt;=R$7,$F13&lt;=R$7+6),"◆","")</f>
        <v/>
      </c>
      <c r="S13" s="31" t="str">
        <f t="shared" si="7"/>
        <v/>
      </c>
      <c r="T13" s="31" t="str">
        <f t="shared" si="7"/>
        <v/>
      </c>
      <c r="U13" s="31" t="str">
        <f t="shared" si="7"/>
        <v/>
      </c>
      <c r="V13" s="31" t="str">
        <f t="shared" si="7"/>
        <v/>
      </c>
      <c r="W13" s="31" t="str">
        <f t="shared" si="7"/>
        <v/>
      </c>
      <c r="X13" s="31" t="str">
        <f t="shared" si="7"/>
        <v/>
      </c>
      <c r="Y13" s="31" t="str">
        <f t="shared" si="7"/>
        <v/>
      </c>
      <c r="Z13" s="31" t="str">
        <f t="shared" si="7"/>
        <v/>
      </c>
      <c r="AA13" s="31" t="str">
        <f t="shared" si="7"/>
        <v/>
      </c>
      <c r="AB13" s="31" t="str">
        <f t="shared" ref="AB13:AP19" si="8">IF(AND($D13="Milestone",$F13&lt;&gt;"",$F13&gt;=AB$7,$F13&lt;=AB$7+6),"◆","")</f>
        <v/>
      </c>
      <c r="AC13" s="31" t="str">
        <f t="shared" si="8"/>
        <v/>
      </c>
      <c r="AD13" s="31" t="str">
        <f t="shared" si="8"/>
        <v/>
      </c>
      <c r="AE13" s="31" t="str">
        <f t="shared" si="8"/>
        <v/>
      </c>
      <c r="AF13" s="31" t="str">
        <f t="shared" si="8"/>
        <v/>
      </c>
      <c r="AG13" s="31" t="str">
        <f t="shared" si="8"/>
        <v/>
      </c>
      <c r="AH13" s="31" t="str">
        <f t="shared" si="8"/>
        <v/>
      </c>
      <c r="AI13" s="31" t="str">
        <f t="shared" si="8"/>
        <v/>
      </c>
      <c r="AJ13" s="31" t="str">
        <f t="shared" si="8"/>
        <v/>
      </c>
      <c r="AK13" s="31" t="str">
        <f t="shared" si="8"/>
        <v/>
      </c>
      <c r="AL13" s="31" t="str">
        <f t="shared" si="8"/>
        <v/>
      </c>
      <c r="AM13" s="31" t="str">
        <f t="shared" si="8"/>
        <v/>
      </c>
      <c r="AN13" s="31" t="str">
        <f t="shared" si="8"/>
        <v/>
      </c>
      <c r="AO13" s="31" t="str">
        <f t="shared" si="8"/>
        <v/>
      </c>
      <c r="AP13" s="31" t="str">
        <f t="shared" si="8"/>
        <v/>
      </c>
    </row>
    <row r="14" spans="1:42" ht="18" customHeight="1" x14ac:dyDescent="0.2">
      <c r="A14" s="26" t="s">
        <v>33</v>
      </c>
      <c r="B14" s="27" t="s">
        <v>34</v>
      </c>
      <c r="C14" s="28" t="s">
        <v>35</v>
      </c>
      <c r="D14" s="29" t="s">
        <v>5</v>
      </c>
      <c r="E14" s="30">
        <v>46293</v>
      </c>
      <c r="F14" s="30">
        <v>46299</v>
      </c>
      <c r="G14" s="26">
        <f t="shared" si="2"/>
        <v>7</v>
      </c>
      <c r="H14" s="31" t="str">
        <f t="shared" si="6"/>
        <v/>
      </c>
      <c r="I14" s="31" t="str">
        <f t="shared" si="6"/>
        <v/>
      </c>
      <c r="J14" s="31" t="str">
        <f t="shared" si="6"/>
        <v/>
      </c>
      <c r="K14" s="31" t="str">
        <f t="shared" si="6"/>
        <v/>
      </c>
      <c r="L14" s="31" t="str">
        <f t="shared" si="6"/>
        <v/>
      </c>
      <c r="M14" s="31" t="str">
        <f t="shared" si="6"/>
        <v/>
      </c>
      <c r="N14" s="31" t="str">
        <f t="shared" si="6"/>
        <v/>
      </c>
      <c r="O14" s="31" t="str">
        <f t="shared" si="6"/>
        <v/>
      </c>
      <c r="P14" s="31" t="str">
        <f t="shared" si="6"/>
        <v/>
      </c>
      <c r="Q14" s="31" t="str">
        <f t="shared" si="6"/>
        <v/>
      </c>
      <c r="R14" s="31" t="str">
        <f t="shared" si="7"/>
        <v/>
      </c>
      <c r="S14" s="31" t="str">
        <f t="shared" si="7"/>
        <v/>
      </c>
      <c r="T14" s="31" t="str">
        <f t="shared" si="7"/>
        <v/>
      </c>
      <c r="U14" s="31" t="str">
        <f t="shared" si="7"/>
        <v/>
      </c>
      <c r="V14" s="31" t="str">
        <f t="shared" si="7"/>
        <v/>
      </c>
      <c r="W14" s="31" t="str">
        <f t="shared" si="7"/>
        <v/>
      </c>
      <c r="X14" s="31" t="str">
        <f t="shared" si="7"/>
        <v/>
      </c>
      <c r="Y14" s="31" t="str">
        <f t="shared" si="7"/>
        <v/>
      </c>
      <c r="Z14" s="31" t="str">
        <f t="shared" si="7"/>
        <v/>
      </c>
      <c r="AA14" s="31" t="str">
        <f t="shared" si="7"/>
        <v/>
      </c>
      <c r="AB14" s="31" t="str">
        <f t="shared" si="8"/>
        <v/>
      </c>
      <c r="AC14" s="31" t="str">
        <f t="shared" si="8"/>
        <v/>
      </c>
      <c r="AD14" s="31" t="str">
        <f t="shared" si="8"/>
        <v/>
      </c>
      <c r="AE14" s="31" t="str">
        <f t="shared" si="8"/>
        <v/>
      </c>
      <c r="AF14" s="31" t="str">
        <f t="shared" si="8"/>
        <v/>
      </c>
      <c r="AG14" s="31" t="str">
        <f t="shared" si="8"/>
        <v/>
      </c>
      <c r="AH14" s="31" t="str">
        <f t="shared" si="8"/>
        <v/>
      </c>
      <c r="AI14" s="31" t="str">
        <f t="shared" si="8"/>
        <v/>
      </c>
      <c r="AJ14" s="31" t="str">
        <f t="shared" si="8"/>
        <v/>
      </c>
      <c r="AK14" s="31" t="str">
        <f t="shared" si="8"/>
        <v/>
      </c>
      <c r="AL14" s="31" t="str">
        <f t="shared" si="8"/>
        <v/>
      </c>
      <c r="AM14" s="31" t="str">
        <f t="shared" si="8"/>
        <v/>
      </c>
      <c r="AN14" s="31" t="str">
        <f t="shared" si="8"/>
        <v/>
      </c>
      <c r="AO14" s="31" t="str">
        <f t="shared" si="8"/>
        <v/>
      </c>
      <c r="AP14" s="31" t="str">
        <f t="shared" si="8"/>
        <v/>
      </c>
    </row>
    <row r="15" spans="1:42" ht="18" customHeight="1" x14ac:dyDescent="0.2">
      <c r="A15" s="26" t="s">
        <v>36</v>
      </c>
      <c r="B15" s="27" t="s">
        <v>37</v>
      </c>
      <c r="C15" s="28" t="s">
        <v>38</v>
      </c>
      <c r="D15" s="29" t="s">
        <v>5</v>
      </c>
      <c r="E15" s="30">
        <v>46300</v>
      </c>
      <c r="F15" s="30">
        <v>46306</v>
      </c>
      <c r="G15" s="26">
        <f t="shared" si="2"/>
        <v>7</v>
      </c>
      <c r="H15" s="31" t="str">
        <f t="shared" si="6"/>
        <v/>
      </c>
      <c r="I15" s="31" t="str">
        <f t="shared" si="6"/>
        <v/>
      </c>
      <c r="J15" s="31" t="str">
        <f t="shared" si="6"/>
        <v/>
      </c>
      <c r="K15" s="31" t="str">
        <f t="shared" si="6"/>
        <v/>
      </c>
      <c r="L15" s="31" t="str">
        <f t="shared" si="6"/>
        <v/>
      </c>
      <c r="M15" s="31" t="str">
        <f t="shared" si="6"/>
        <v/>
      </c>
      <c r="N15" s="31" t="str">
        <f t="shared" si="6"/>
        <v/>
      </c>
      <c r="O15" s="31" t="str">
        <f t="shared" si="6"/>
        <v/>
      </c>
      <c r="P15" s="31" t="str">
        <f t="shared" si="6"/>
        <v/>
      </c>
      <c r="Q15" s="31" t="str">
        <f t="shared" si="6"/>
        <v/>
      </c>
      <c r="R15" s="31" t="str">
        <f t="shared" si="7"/>
        <v/>
      </c>
      <c r="S15" s="31" t="str">
        <f t="shared" si="7"/>
        <v/>
      </c>
      <c r="T15" s="31" t="str">
        <f t="shared" si="7"/>
        <v/>
      </c>
      <c r="U15" s="31" t="str">
        <f t="shared" si="7"/>
        <v/>
      </c>
      <c r="V15" s="31" t="str">
        <f t="shared" si="7"/>
        <v/>
      </c>
      <c r="W15" s="31" t="str">
        <f t="shared" si="7"/>
        <v/>
      </c>
      <c r="X15" s="31" t="str">
        <f t="shared" si="7"/>
        <v/>
      </c>
      <c r="Y15" s="31" t="str">
        <f t="shared" si="7"/>
        <v/>
      </c>
      <c r="Z15" s="31" t="str">
        <f t="shared" si="7"/>
        <v/>
      </c>
      <c r="AA15" s="31" t="str">
        <f t="shared" si="7"/>
        <v/>
      </c>
      <c r="AB15" s="31" t="str">
        <f t="shared" si="8"/>
        <v/>
      </c>
      <c r="AC15" s="31" t="str">
        <f t="shared" si="8"/>
        <v/>
      </c>
      <c r="AD15" s="31" t="str">
        <f t="shared" si="8"/>
        <v/>
      </c>
      <c r="AE15" s="31" t="str">
        <f t="shared" si="8"/>
        <v/>
      </c>
      <c r="AF15" s="31" t="str">
        <f t="shared" si="8"/>
        <v/>
      </c>
      <c r="AG15" s="31" t="str">
        <f t="shared" si="8"/>
        <v/>
      </c>
      <c r="AH15" s="31" t="str">
        <f t="shared" si="8"/>
        <v/>
      </c>
      <c r="AI15" s="31" t="str">
        <f t="shared" si="8"/>
        <v/>
      </c>
      <c r="AJ15" s="31" t="str">
        <f t="shared" si="8"/>
        <v/>
      </c>
      <c r="AK15" s="31" t="str">
        <f t="shared" si="8"/>
        <v/>
      </c>
      <c r="AL15" s="31" t="str">
        <f t="shared" si="8"/>
        <v/>
      </c>
      <c r="AM15" s="31" t="str">
        <f t="shared" si="8"/>
        <v/>
      </c>
      <c r="AN15" s="31" t="str">
        <f t="shared" si="8"/>
        <v/>
      </c>
      <c r="AO15" s="31" t="str">
        <f t="shared" si="8"/>
        <v/>
      </c>
      <c r="AP15" s="31" t="str">
        <f t="shared" si="8"/>
        <v/>
      </c>
    </row>
    <row r="16" spans="1:42" ht="18" customHeight="1" x14ac:dyDescent="0.2">
      <c r="A16" s="26" t="s">
        <v>39</v>
      </c>
      <c r="B16" s="27" t="s">
        <v>37</v>
      </c>
      <c r="C16" s="28" t="s">
        <v>40</v>
      </c>
      <c r="D16" s="29" t="s">
        <v>41</v>
      </c>
      <c r="E16" s="30">
        <v>46306</v>
      </c>
      <c r="F16" s="30">
        <v>46306</v>
      </c>
      <c r="G16" s="26">
        <f t="shared" si="2"/>
        <v>1</v>
      </c>
      <c r="H16" s="31" t="str">
        <f t="shared" si="6"/>
        <v/>
      </c>
      <c r="I16" s="31" t="str">
        <f t="shared" si="6"/>
        <v/>
      </c>
      <c r="J16" s="31" t="str">
        <f t="shared" si="6"/>
        <v/>
      </c>
      <c r="K16" s="31" t="str">
        <f t="shared" si="6"/>
        <v/>
      </c>
      <c r="L16" s="31" t="str">
        <f t="shared" si="6"/>
        <v/>
      </c>
      <c r="M16" s="31" t="str">
        <f t="shared" si="6"/>
        <v>◆</v>
      </c>
      <c r="N16" s="31" t="str">
        <f t="shared" si="6"/>
        <v/>
      </c>
      <c r="O16" s="31" t="str">
        <f t="shared" si="6"/>
        <v/>
      </c>
      <c r="P16" s="31" t="str">
        <f t="shared" si="6"/>
        <v/>
      </c>
      <c r="Q16" s="31" t="str">
        <f t="shared" si="6"/>
        <v/>
      </c>
      <c r="R16" s="31" t="str">
        <f t="shared" si="7"/>
        <v/>
      </c>
      <c r="S16" s="31" t="str">
        <f t="shared" si="7"/>
        <v/>
      </c>
      <c r="T16" s="31" t="str">
        <f t="shared" si="7"/>
        <v/>
      </c>
      <c r="U16" s="31" t="str">
        <f t="shared" si="7"/>
        <v/>
      </c>
      <c r="V16" s="31" t="str">
        <f t="shared" si="7"/>
        <v/>
      </c>
      <c r="W16" s="31" t="str">
        <f t="shared" si="7"/>
        <v/>
      </c>
      <c r="X16" s="31" t="str">
        <f t="shared" si="7"/>
        <v/>
      </c>
      <c r="Y16" s="31" t="str">
        <f t="shared" si="7"/>
        <v/>
      </c>
      <c r="Z16" s="31" t="str">
        <f t="shared" si="7"/>
        <v/>
      </c>
      <c r="AA16" s="31" t="str">
        <f t="shared" si="7"/>
        <v/>
      </c>
      <c r="AB16" s="31" t="str">
        <f t="shared" si="8"/>
        <v/>
      </c>
      <c r="AC16" s="31" t="str">
        <f t="shared" si="8"/>
        <v/>
      </c>
      <c r="AD16" s="31" t="str">
        <f t="shared" si="8"/>
        <v/>
      </c>
      <c r="AE16" s="31" t="str">
        <f t="shared" si="8"/>
        <v/>
      </c>
      <c r="AF16" s="31" t="str">
        <f t="shared" si="8"/>
        <v/>
      </c>
      <c r="AG16" s="31" t="str">
        <f t="shared" si="8"/>
        <v/>
      </c>
      <c r="AH16" s="31" t="str">
        <f t="shared" si="8"/>
        <v/>
      </c>
      <c r="AI16" s="31" t="str">
        <f t="shared" si="8"/>
        <v/>
      </c>
      <c r="AJ16" s="31" t="str">
        <f t="shared" si="8"/>
        <v/>
      </c>
      <c r="AK16" s="31" t="str">
        <f t="shared" si="8"/>
        <v/>
      </c>
      <c r="AL16" s="31" t="str">
        <f t="shared" si="8"/>
        <v/>
      </c>
      <c r="AM16" s="31" t="str">
        <f t="shared" si="8"/>
        <v/>
      </c>
      <c r="AN16" s="31" t="str">
        <f t="shared" si="8"/>
        <v/>
      </c>
      <c r="AO16" s="31" t="str">
        <f t="shared" si="8"/>
        <v/>
      </c>
      <c r="AP16" s="31" t="str">
        <f t="shared" si="8"/>
        <v/>
      </c>
    </row>
    <row r="17" spans="1:42" ht="18" customHeight="1" x14ac:dyDescent="0.2">
      <c r="A17" s="26" t="s">
        <v>42</v>
      </c>
      <c r="B17" s="27" t="s">
        <v>43</v>
      </c>
      <c r="C17" s="28" t="s">
        <v>44</v>
      </c>
      <c r="D17" s="29" t="s">
        <v>5</v>
      </c>
      <c r="E17" s="30">
        <v>46307</v>
      </c>
      <c r="F17" s="30">
        <v>46320</v>
      </c>
      <c r="G17" s="26">
        <f t="shared" si="2"/>
        <v>14</v>
      </c>
      <c r="H17" s="31" t="str">
        <f t="shared" si="6"/>
        <v/>
      </c>
      <c r="I17" s="31" t="str">
        <f t="shared" si="6"/>
        <v/>
      </c>
      <c r="J17" s="31" t="str">
        <f t="shared" si="6"/>
        <v/>
      </c>
      <c r="K17" s="31" t="str">
        <f t="shared" si="6"/>
        <v/>
      </c>
      <c r="L17" s="31" t="str">
        <f t="shared" si="6"/>
        <v/>
      </c>
      <c r="M17" s="31" t="str">
        <f t="shared" si="6"/>
        <v/>
      </c>
      <c r="N17" s="31" t="str">
        <f t="shared" si="6"/>
        <v/>
      </c>
      <c r="O17" s="31" t="str">
        <f t="shared" si="6"/>
        <v/>
      </c>
      <c r="P17" s="31" t="str">
        <f t="shared" si="6"/>
        <v/>
      </c>
      <c r="Q17" s="31" t="str">
        <f t="shared" si="6"/>
        <v/>
      </c>
      <c r="R17" s="31" t="str">
        <f t="shared" si="7"/>
        <v/>
      </c>
      <c r="S17" s="31" t="str">
        <f t="shared" si="7"/>
        <v/>
      </c>
      <c r="T17" s="31" t="str">
        <f t="shared" si="7"/>
        <v/>
      </c>
      <c r="U17" s="31" t="str">
        <f t="shared" si="7"/>
        <v/>
      </c>
      <c r="V17" s="31" t="str">
        <f t="shared" si="7"/>
        <v/>
      </c>
      <c r="W17" s="31" t="str">
        <f t="shared" si="7"/>
        <v/>
      </c>
      <c r="X17" s="31" t="str">
        <f t="shared" si="7"/>
        <v/>
      </c>
      <c r="Y17" s="31" t="str">
        <f t="shared" si="7"/>
        <v/>
      </c>
      <c r="Z17" s="31" t="str">
        <f t="shared" si="7"/>
        <v/>
      </c>
      <c r="AA17" s="31" t="str">
        <f t="shared" si="7"/>
        <v/>
      </c>
      <c r="AB17" s="31" t="str">
        <f t="shared" si="8"/>
        <v/>
      </c>
      <c r="AC17" s="31" t="str">
        <f t="shared" si="8"/>
        <v/>
      </c>
      <c r="AD17" s="31" t="str">
        <f t="shared" si="8"/>
        <v/>
      </c>
      <c r="AE17" s="31" t="str">
        <f t="shared" si="8"/>
        <v/>
      </c>
      <c r="AF17" s="31" t="str">
        <f t="shared" si="8"/>
        <v/>
      </c>
      <c r="AG17" s="31" t="str">
        <f t="shared" si="8"/>
        <v/>
      </c>
      <c r="AH17" s="31" t="str">
        <f t="shared" si="8"/>
        <v/>
      </c>
      <c r="AI17" s="31" t="str">
        <f t="shared" si="8"/>
        <v/>
      </c>
      <c r="AJ17" s="31" t="str">
        <f t="shared" si="8"/>
        <v/>
      </c>
      <c r="AK17" s="31" t="str">
        <f t="shared" si="8"/>
        <v/>
      </c>
      <c r="AL17" s="31" t="str">
        <f t="shared" si="8"/>
        <v/>
      </c>
      <c r="AM17" s="31" t="str">
        <f t="shared" si="8"/>
        <v/>
      </c>
      <c r="AN17" s="31" t="str">
        <f t="shared" si="8"/>
        <v/>
      </c>
      <c r="AO17" s="31" t="str">
        <f t="shared" si="8"/>
        <v/>
      </c>
      <c r="AP17" s="31" t="str">
        <f t="shared" si="8"/>
        <v/>
      </c>
    </row>
    <row r="18" spans="1:42" ht="18" customHeight="1" x14ac:dyDescent="0.2">
      <c r="A18" s="26" t="s">
        <v>45</v>
      </c>
      <c r="B18" s="27" t="s">
        <v>46</v>
      </c>
      <c r="C18" s="28" t="s">
        <v>47</v>
      </c>
      <c r="D18" s="29" t="s">
        <v>5</v>
      </c>
      <c r="E18" s="30">
        <v>46314</v>
      </c>
      <c r="F18" s="30">
        <v>46320</v>
      </c>
      <c r="G18" s="26">
        <f t="shared" si="2"/>
        <v>7</v>
      </c>
      <c r="H18" s="31" t="str">
        <f t="shared" si="6"/>
        <v/>
      </c>
      <c r="I18" s="31" t="str">
        <f t="shared" si="6"/>
        <v/>
      </c>
      <c r="J18" s="31" t="str">
        <f t="shared" si="6"/>
        <v/>
      </c>
      <c r="K18" s="31" t="str">
        <f t="shared" si="6"/>
        <v/>
      </c>
      <c r="L18" s="31" t="str">
        <f t="shared" si="6"/>
        <v/>
      </c>
      <c r="M18" s="31" t="str">
        <f t="shared" si="6"/>
        <v/>
      </c>
      <c r="N18" s="31" t="str">
        <f t="shared" si="6"/>
        <v/>
      </c>
      <c r="O18" s="31" t="str">
        <f t="shared" si="6"/>
        <v/>
      </c>
      <c r="P18" s="31" t="str">
        <f t="shared" si="6"/>
        <v/>
      </c>
      <c r="Q18" s="31" t="str">
        <f t="shared" si="6"/>
        <v/>
      </c>
      <c r="R18" s="31" t="str">
        <f t="shared" si="7"/>
        <v/>
      </c>
      <c r="S18" s="31" t="str">
        <f t="shared" si="7"/>
        <v/>
      </c>
      <c r="T18" s="31" t="str">
        <f t="shared" si="7"/>
        <v/>
      </c>
      <c r="U18" s="31" t="str">
        <f t="shared" si="7"/>
        <v/>
      </c>
      <c r="V18" s="31" t="str">
        <f t="shared" si="7"/>
        <v/>
      </c>
      <c r="W18" s="31" t="str">
        <f t="shared" si="7"/>
        <v/>
      </c>
      <c r="X18" s="31" t="str">
        <f t="shared" si="7"/>
        <v/>
      </c>
      <c r="Y18" s="31" t="str">
        <f t="shared" si="7"/>
        <v/>
      </c>
      <c r="Z18" s="31" t="str">
        <f t="shared" si="7"/>
        <v/>
      </c>
      <c r="AA18" s="31" t="str">
        <f t="shared" si="7"/>
        <v/>
      </c>
      <c r="AB18" s="31" t="str">
        <f t="shared" si="8"/>
        <v/>
      </c>
      <c r="AC18" s="31" t="str">
        <f t="shared" si="8"/>
        <v/>
      </c>
      <c r="AD18" s="31" t="str">
        <f t="shared" si="8"/>
        <v/>
      </c>
      <c r="AE18" s="31" t="str">
        <f t="shared" si="8"/>
        <v/>
      </c>
      <c r="AF18" s="31" t="str">
        <f t="shared" si="8"/>
        <v/>
      </c>
      <c r="AG18" s="31" t="str">
        <f t="shared" si="8"/>
        <v/>
      </c>
      <c r="AH18" s="31" t="str">
        <f t="shared" si="8"/>
        <v/>
      </c>
      <c r="AI18" s="31" t="str">
        <f t="shared" si="8"/>
        <v/>
      </c>
      <c r="AJ18" s="31" t="str">
        <f t="shared" si="8"/>
        <v/>
      </c>
      <c r="AK18" s="31" t="str">
        <f t="shared" si="8"/>
        <v/>
      </c>
      <c r="AL18" s="31" t="str">
        <f t="shared" si="8"/>
        <v/>
      </c>
      <c r="AM18" s="31" t="str">
        <f t="shared" si="8"/>
        <v/>
      </c>
      <c r="AN18" s="31" t="str">
        <f t="shared" si="8"/>
        <v/>
      </c>
      <c r="AO18" s="31" t="str">
        <f t="shared" si="8"/>
        <v/>
      </c>
      <c r="AP18" s="31" t="str">
        <f t="shared" si="8"/>
        <v/>
      </c>
    </row>
    <row r="19" spans="1:42" ht="18" customHeight="1" x14ac:dyDescent="0.2">
      <c r="A19" s="26" t="s">
        <v>48</v>
      </c>
      <c r="B19" s="27" t="s">
        <v>49</v>
      </c>
      <c r="C19" s="28" t="s">
        <v>50</v>
      </c>
      <c r="D19" s="29" t="s">
        <v>5</v>
      </c>
      <c r="E19" s="30">
        <v>46321</v>
      </c>
      <c r="F19" s="30">
        <v>46334</v>
      </c>
      <c r="G19" s="26">
        <f t="shared" si="2"/>
        <v>14</v>
      </c>
      <c r="H19" s="31" t="str">
        <f t="shared" si="6"/>
        <v/>
      </c>
      <c r="I19" s="31" t="str">
        <f t="shared" si="6"/>
        <v/>
      </c>
      <c r="J19" s="31" t="str">
        <f t="shared" si="6"/>
        <v/>
      </c>
      <c r="K19" s="31" t="str">
        <f t="shared" si="6"/>
        <v/>
      </c>
      <c r="L19" s="31" t="str">
        <f t="shared" si="6"/>
        <v/>
      </c>
      <c r="M19" s="31" t="str">
        <f t="shared" si="6"/>
        <v/>
      </c>
      <c r="N19" s="31" t="str">
        <f t="shared" si="6"/>
        <v/>
      </c>
      <c r="O19" s="31" t="str">
        <f t="shared" si="6"/>
        <v/>
      </c>
      <c r="P19" s="31" t="str">
        <f t="shared" si="6"/>
        <v/>
      </c>
      <c r="Q19" s="31" t="str">
        <f t="shared" si="6"/>
        <v/>
      </c>
      <c r="R19" s="31" t="str">
        <f t="shared" si="7"/>
        <v/>
      </c>
      <c r="S19" s="31" t="str">
        <f t="shared" si="7"/>
        <v/>
      </c>
      <c r="T19" s="31" t="str">
        <f t="shared" si="7"/>
        <v/>
      </c>
      <c r="U19" s="31" t="str">
        <f t="shared" si="7"/>
        <v/>
      </c>
      <c r="V19" s="31" t="str">
        <f t="shared" si="7"/>
        <v/>
      </c>
      <c r="W19" s="31" t="str">
        <f t="shared" si="7"/>
        <v/>
      </c>
      <c r="X19" s="31" t="str">
        <f t="shared" si="7"/>
        <v/>
      </c>
      <c r="Y19" s="31" t="str">
        <f t="shared" si="7"/>
        <v/>
      </c>
      <c r="Z19" s="31" t="str">
        <f t="shared" si="7"/>
        <v/>
      </c>
      <c r="AA19" s="31" t="str">
        <f t="shared" si="7"/>
        <v/>
      </c>
      <c r="AB19" s="31" t="str">
        <f t="shared" si="8"/>
        <v/>
      </c>
      <c r="AC19" s="31" t="str">
        <f t="shared" si="8"/>
        <v/>
      </c>
      <c r="AD19" s="31" t="str">
        <f t="shared" si="8"/>
        <v/>
      </c>
      <c r="AE19" s="31" t="str">
        <f t="shared" si="8"/>
        <v/>
      </c>
      <c r="AF19" s="31" t="str">
        <f t="shared" si="8"/>
        <v/>
      </c>
      <c r="AG19" s="31" t="str">
        <f t="shared" si="8"/>
        <v/>
      </c>
      <c r="AH19" s="31" t="str">
        <f t="shared" si="8"/>
        <v/>
      </c>
      <c r="AI19" s="31" t="str">
        <f t="shared" si="8"/>
        <v/>
      </c>
      <c r="AJ19" s="31" t="str">
        <f t="shared" si="8"/>
        <v/>
      </c>
      <c r="AK19" s="31" t="str">
        <f t="shared" si="8"/>
        <v/>
      </c>
      <c r="AL19" s="31" t="str">
        <f t="shared" si="8"/>
        <v/>
      </c>
      <c r="AM19" s="31" t="str">
        <f t="shared" si="8"/>
        <v/>
      </c>
      <c r="AN19" s="31" t="str">
        <f t="shared" si="8"/>
        <v/>
      </c>
      <c r="AO19" s="31" t="str">
        <f t="shared" si="8"/>
        <v/>
      </c>
      <c r="AP19" s="31" t="str">
        <f t="shared" si="8"/>
        <v/>
      </c>
    </row>
    <row r="20" spans="1:42" ht="18" customHeight="1" x14ac:dyDescent="0.2">
      <c r="A20" s="22"/>
      <c r="B20" s="23"/>
      <c r="C20" s="23" t="s">
        <v>51</v>
      </c>
      <c r="D20" s="22" t="s">
        <v>19</v>
      </c>
      <c r="E20" s="24">
        <f>IF(COUNT(E21:E26)=0,"",MIN(E21:E26))</f>
        <v>46335</v>
      </c>
      <c r="F20" s="24">
        <f>IF(COUNT(F21:F26)=0,"",MAX(F21:F26))</f>
        <v>46369</v>
      </c>
      <c r="G20" s="22">
        <f t="shared" si="2"/>
        <v>35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</row>
    <row r="21" spans="1:42" ht="18" customHeight="1" x14ac:dyDescent="0.2">
      <c r="A21" s="26" t="s">
        <v>52</v>
      </c>
      <c r="B21" s="27" t="s">
        <v>53</v>
      </c>
      <c r="C21" s="28" t="s">
        <v>54</v>
      </c>
      <c r="D21" s="29" t="s">
        <v>41</v>
      </c>
      <c r="E21" s="30">
        <v>46341</v>
      </c>
      <c r="F21" s="30">
        <v>46341</v>
      </c>
      <c r="G21" s="26">
        <f t="shared" si="2"/>
        <v>1</v>
      </c>
      <c r="H21" s="31" t="str">
        <f t="shared" ref="H21:Q26" si="9">IF(AND($D21="Milestone",$F21&lt;&gt;"",$F21&gt;=H$7,$F21&lt;=H$7+6),"◆","")</f>
        <v/>
      </c>
      <c r="I21" s="31" t="str">
        <f t="shared" si="9"/>
        <v/>
      </c>
      <c r="J21" s="31" t="str">
        <f t="shared" si="9"/>
        <v/>
      </c>
      <c r="K21" s="31" t="str">
        <f t="shared" si="9"/>
        <v/>
      </c>
      <c r="L21" s="31" t="str">
        <f t="shared" si="9"/>
        <v/>
      </c>
      <c r="M21" s="31" t="str">
        <f t="shared" si="9"/>
        <v/>
      </c>
      <c r="N21" s="31" t="str">
        <f t="shared" si="9"/>
        <v/>
      </c>
      <c r="O21" s="31" t="str">
        <f t="shared" si="9"/>
        <v/>
      </c>
      <c r="P21" s="31" t="str">
        <f t="shared" si="9"/>
        <v/>
      </c>
      <c r="Q21" s="31" t="str">
        <f t="shared" si="9"/>
        <v/>
      </c>
      <c r="R21" s="31" t="str">
        <f t="shared" ref="R21:AA26" si="10">IF(AND($D21="Milestone",$F21&lt;&gt;"",$F21&gt;=R$7,$F21&lt;=R$7+6),"◆","")</f>
        <v>◆</v>
      </c>
      <c r="S21" s="31" t="str">
        <f t="shared" si="10"/>
        <v/>
      </c>
      <c r="T21" s="31" t="str">
        <f t="shared" si="10"/>
        <v/>
      </c>
      <c r="U21" s="31" t="str">
        <f t="shared" si="10"/>
        <v/>
      </c>
      <c r="V21" s="31" t="str">
        <f t="shared" si="10"/>
        <v/>
      </c>
      <c r="W21" s="31" t="str">
        <f t="shared" si="10"/>
        <v/>
      </c>
      <c r="X21" s="31" t="str">
        <f t="shared" si="10"/>
        <v/>
      </c>
      <c r="Y21" s="31" t="str">
        <f t="shared" si="10"/>
        <v/>
      </c>
      <c r="Z21" s="31" t="str">
        <f t="shared" si="10"/>
        <v/>
      </c>
      <c r="AA21" s="31" t="str">
        <f t="shared" si="10"/>
        <v/>
      </c>
      <c r="AB21" s="31" t="str">
        <f t="shared" ref="AB21:AP26" si="11">IF(AND($D21="Milestone",$F21&lt;&gt;"",$F21&gt;=AB$7,$F21&lt;=AB$7+6),"◆","")</f>
        <v/>
      </c>
      <c r="AC21" s="31" t="str">
        <f t="shared" si="11"/>
        <v/>
      </c>
      <c r="AD21" s="31" t="str">
        <f t="shared" si="11"/>
        <v/>
      </c>
      <c r="AE21" s="31" t="str">
        <f t="shared" si="11"/>
        <v/>
      </c>
      <c r="AF21" s="31" t="str">
        <f t="shared" si="11"/>
        <v/>
      </c>
      <c r="AG21" s="31" t="str">
        <f t="shared" si="11"/>
        <v/>
      </c>
      <c r="AH21" s="31" t="str">
        <f t="shared" si="11"/>
        <v/>
      </c>
      <c r="AI21" s="31" t="str">
        <f t="shared" si="11"/>
        <v/>
      </c>
      <c r="AJ21" s="31" t="str">
        <f t="shared" si="11"/>
        <v/>
      </c>
      <c r="AK21" s="31" t="str">
        <f t="shared" si="11"/>
        <v/>
      </c>
      <c r="AL21" s="31" t="str">
        <f t="shared" si="11"/>
        <v/>
      </c>
      <c r="AM21" s="31" t="str">
        <f t="shared" si="11"/>
        <v/>
      </c>
      <c r="AN21" s="31" t="str">
        <f t="shared" si="11"/>
        <v/>
      </c>
      <c r="AO21" s="31" t="str">
        <f t="shared" si="11"/>
        <v/>
      </c>
      <c r="AP21" s="31" t="str">
        <f t="shared" si="11"/>
        <v/>
      </c>
    </row>
    <row r="22" spans="1:42" ht="18" customHeight="1" x14ac:dyDescent="0.2">
      <c r="A22" s="26" t="s">
        <v>55</v>
      </c>
      <c r="B22" s="27" t="s">
        <v>53</v>
      </c>
      <c r="C22" s="28" t="s">
        <v>56</v>
      </c>
      <c r="D22" s="29" t="s">
        <v>5</v>
      </c>
      <c r="E22" s="30">
        <v>46335</v>
      </c>
      <c r="F22" s="30">
        <v>46362</v>
      </c>
      <c r="G22" s="26">
        <f t="shared" si="2"/>
        <v>28</v>
      </c>
      <c r="H22" s="31" t="str">
        <f t="shared" si="9"/>
        <v/>
      </c>
      <c r="I22" s="31" t="str">
        <f t="shared" si="9"/>
        <v/>
      </c>
      <c r="J22" s="31" t="str">
        <f t="shared" si="9"/>
        <v/>
      </c>
      <c r="K22" s="31" t="str">
        <f t="shared" si="9"/>
        <v/>
      </c>
      <c r="L22" s="31" t="str">
        <f t="shared" si="9"/>
        <v/>
      </c>
      <c r="M22" s="31" t="str">
        <f t="shared" si="9"/>
        <v/>
      </c>
      <c r="N22" s="31" t="str">
        <f t="shared" si="9"/>
        <v/>
      </c>
      <c r="O22" s="31" t="str">
        <f t="shared" si="9"/>
        <v/>
      </c>
      <c r="P22" s="31" t="str">
        <f t="shared" si="9"/>
        <v/>
      </c>
      <c r="Q22" s="31" t="str">
        <f t="shared" si="9"/>
        <v/>
      </c>
      <c r="R22" s="31" t="str">
        <f t="shared" si="10"/>
        <v/>
      </c>
      <c r="S22" s="31" t="str">
        <f t="shared" si="10"/>
        <v/>
      </c>
      <c r="T22" s="31" t="str">
        <f t="shared" si="10"/>
        <v/>
      </c>
      <c r="U22" s="31" t="str">
        <f t="shared" si="10"/>
        <v/>
      </c>
      <c r="V22" s="31" t="str">
        <f t="shared" si="10"/>
        <v/>
      </c>
      <c r="W22" s="31" t="str">
        <f t="shared" si="10"/>
        <v/>
      </c>
      <c r="X22" s="31" t="str">
        <f t="shared" si="10"/>
        <v/>
      </c>
      <c r="Y22" s="31" t="str">
        <f t="shared" si="10"/>
        <v/>
      </c>
      <c r="Z22" s="31" t="str">
        <f t="shared" si="10"/>
        <v/>
      </c>
      <c r="AA22" s="31" t="str">
        <f t="shared" si="10"/>
        <v/>
      </c>
      <c r="AB22" s="31" t="str">
        <f t="shared" si="11"/>
        <v/>
      </c>
      <c r="AC22" s="31" t="str">
        <f t="shared" si="11"/>
        <v/>
      </c>
      <c r="AD22" s="31" t="str">
        <f t="shared" si="11"/>
        <v/>
      </c>
      <c r="AE22" s="31" t="str">
        <f t="shared" si="11"/>
        <v/>
      </c>
      <c r="AF22" s="31" t="str">
        <f t="shared" si="11"/>
        <v/>
      </c>
      <c r="AG22" s="31" t="str">
        <f t="shared" si="11"/>
        <v/>
      </c>
      <c r="AH22" s="31" t="str">
        <f t="shared" si="11"/>
        <v/>
      </c>
      <c r="AI22" s="31" t="str">
        <f t="shared" si="11"/>
        <v/>
      </c>
      <c r="AJ22" s="31" t="str">
        <f t="shared" si="11"/>
        <v/>
      </c>
      <c r="AK22" s="31" t="str">
        <f t="shared" si="11"/>
        <v/>
      </c>
      <c r="AL22" s="31" t="str">
        <f t="shared" si="11"/>
        <v/>
      </c>
      <c r="AM22" s="31" t="str">
        <f t="shared" si="11"/>
        <v/>
      </c>
      <c r="AN22" s="31" t="str">
        <f t="shared" si="11"/>
        <v/>
      </c>
      <c r="AO22" s="31" t="str">
        <f t="shared" si="11"/>
        <v/>
      </c>
      <c r="AP22" s="31" t="str">
        <f t="shared" si="11"/>
        <v/>
      </c>
    </row>
    <row r="23" spans="1:42" ht="18" customHeight="1" x14ac:dyDescent="0.2">
      <c r="A23" s="26" t="s">
        <v>57</v>
      </c>
      <c r="B23" s="27" t="s">
        <v>53</v>
      </c>
      <c r="C23" s="28" t="s">
        <v>58</v>
      </c>
      <c r="D23" s="29" t="s">
        <v>5</v>
      </c>
      <c r="E23" s="30">
        <v>46335</v>
      </c>
      <c r="F23" s="30">
        <v>46362</v>
      </c>
      <c r="G23" s="26">
        <f t="shared" si="2"/>
        <v>28</v>
      </c>
      <c r="H23" s="31" t="str">
        <f t="shared" si="9"/>
        <v/>
      </c>
      <c r="I23" s="31" t="str">
        <f t="shared" si="9"/>
        <v/>
      </c>
      <c r="J23" s="31" t="str">
        <f t="shared" si="9"/>
        <v/>
      </c>
      <c r="K23" s="31" t="str">
        <f t="shared" si="9"/>
        <v/>
      </c>
      <c r="L23" s="31" t="str">
        <f t="shared" si="9"/>
        <v/>
      </c>
      <c r="M23" s="31" t="str">
        <f t="shared" si="9"/>
        <v/>
      </c>
      <c r="N23" s="31" t="str">
        <f t="shared" si="9"/>
        <v/>
      </c>
      <c r="O23" s="31" t="str">
        <f t="shared" si="9"/>
        <v/>
      </c>
      <c r="P23" s="31" t="str">
        <f t="shared" si="9"/>
        <v/>
      </c>
      <c r="Q23" s="31" t="str">
        <f t="shared" si="9"/>
        <v/>
      </c>
      <c r="R23" s="31" t="str">
        <f t="shared" si="10"/>
        <v/>
      </c>
      <c r="S23" s="31" t="str">
        <f t="shared" si="10"/>
        <v/>
      </c>
      <c r="T23" s="31" t="str">
        <f t="shared" si="10"/>
        <v/>
      </c>
      <c r="U23" s="31" t="str">
        <f t="shared" si="10"/>
        <v/>
      </c>
      <c r="V23" s="31" t="str">
        <f t="shared" si="10"/>
        <v/>
      </c>
      <c r="W23" s="31" t="str">
        <f t="shared" si="10"/>
        <v/>
      </c>
      <c r="X23" s="31" t="str">
        <f t="shared" si="10"/>
        <v/>
      </c>
      <c r="Y23" s="31" t="str">
        <f t="shared" si="10"/>
        <v/>
      </c>
      <c r="Z23" s="31" t="str">
        <f t="shared" si="10"/>
        <v/>
      </c>
      <c r="AA23" s="31" t="str">
        <f t="shared" si="10"/>
        <v/>
      </c>
      <c r="AB23" s="31" t="str">
        <f t="shared" si="11"/>
        <v/>
      </c>
      <c r="AC23" s="31" t="str">
        <f t="shared" si="11"/>
        <v/>
      </c>
      <c r="AD23" s="31" t="str">
        <f t="shared" si="11"/>
        <v/>
      </c>
      <c r="AE23" s="31" t="str">
        <f t="shared" si="11"/>
        <v/>
      </c>
      <c r="AF23" s="31" t="str">
        <f t="shared" si="11"/>
        <v/>
      </c>
      <c r="AG23" s="31" t="str">
        <f t="shared" si="11"/>
        <v/>
      </c>
      <c r="AH23" s="31" t="str">
        <f t="shared" si="11"/>
        <v/>
      </c>
      <c r="AI23" s="31" t="str">
        <f t="shared" si="11"/>
        <v/>
      </c>
      <c r="AJ23" s="31" t="str">
        <f t="shared" si="11"/>
        <v/>
      </c>
      <c r="AK23" s="31" t="str">
        <f t="shared" si="11"/>
        <v/>
      </c>
      <c r="AL23" s="31" t="str">
        <f t="shared" si="11"/>
        <v/>
      </c>
      <c r="AM23" s="31" t="str">
        <f t="shared" si="11"/>
        <v/>
      </c>
      <c r="AN23" s="31" t="str">
        <f t="shared" si="11"/>
        <v/>
      </c>
      <c r="AO23" s="31" t="str">
        <f t="shared" si="11"/>
        <v/>
      </c>
      <c r="AP23" s="31" t="str">
        <f t="shared" si="11"/>
        <v/>
      </c>
    </row>
    <row r="24" spans="1:42" ht="18" customHeight="1" x14ac:dyDescent="0.2">
      <c r="A24" s="26" t="s">
        <v>59</v>
      </c>
      <c r="B24" s="27" t="s">
        <v>53</v>
      </c>
      <c r="C24" s="28" t="s">
        <v>60</v>
      </c>
      <c r="D24" s="29" t="s">
        <v>5</v>
      </c>
      <c r="E24" s="30">
        <v>46335</v>
      </c>
      <c r="F24" s="30">
        <v>46362</v>
      </c>
      <c r="G24" s="26">
        <f t="shared" si="2"/>
        <v>28</v>
      </c>
      <c r="H24" s="31" t="str">
        <f t="shared" si="9"/>
        <v/>
      </c>
      <c r="I24" s="31" t="str">
        <f t="shared" si="9"/>
        <v/>
      </c>
      <c r="J24" s="31" t="str">
        <f t="shared" si="9"/>
        <v/>
      </c>
      <c r="K24" s="31" t="str">
        <f t="shared" si="9"/>
        <v/>
      </c>
      <c r="L24" s="31" t="str">
        <f t="shared" si="9"/>
        <v/>
      </c>
      <c r="M24" s="31" t="str">
        <f t="shared" si="9"/>
        <v/>
      </c>
      <c r="N24" s="31" t="str">
        <f t="shared" si="9"/>
        <v/>
      </c>
      <c r="O24" s="31" t="str">
        <f t="shared" si="9"/>
        <v/>
      </c>
      <c r="P24" s="31" t="str">
        <f t="shared" si="9"/>
        <v/>
      </c>
      <c r="Q24" s="31" t="str">
        <f t="shared" si="9"/>
        <v/>
      </c>
      <c r="R24" s="31" t="str">
        <f t="shared" si="10"/>
        <v/>
      </c>
      <c r="S24" s="31" t="str">
        <f t="shared" si="10"/>
        <v/>
      </c>
      <c r="T24" s="31" t="str">
        <f t="shared" si="10"/>
        <v/>
      </c>
      <c r="U24" s="31" t="str">
        <f t="shared" si="10"/>
        <v/>
      </c>
      <c r="V24" s="31" t="str">
        <f t="shared" si="10"/>
        <v/>
      </c>
      <c r="W24" s="31" t="str">
        <f t="shared" si="10"/>
        <v/>
      </c>
      <c r="X24" s="31" t="str">
        <f t="shared" si="10"/>
        <v/>
      </c>
      <c r="Y24" s="31" t="str">
        <f t="shared" si="10"/>
        <v/>
      </c>
      <c r="Z24" s="31" t="str">
        <f t="shared" si="10"/>
        <v/>
      </c>
      <c r="AA24" s="31" t="str">
        <f t="shared" si="10"/>
        <v/>
      </c>
      <c r="AB24" s="31" t="str">
        <f t="shared" si="11"/>
        <v/>
      </c>
      <c r="AC24" s="31" t="str">
        <f t="shared" si="11"/>
        <v/>
      </c>
      <c r="AD24" s="31" t="str">
        <f t="shared" si="11"/>
        <v/>
      </c>
      <c r="AE24" s="31" t="str">
        <f t="shared" si="11"/>
        <v/>
      </c>
      <c r="AF24" s="31" t="str">
        <f t="shared" si="11"/>
        <v/>
      </c>
      <c r="AG24" s="31" t="str">
        <f t="shared" si="11"/>
        <v/>
      </c>
      <c r="AH24" s="31" t="str">
        <f t="shared" si="11"/>
        <v/>
      </c>
      <c r="AI24" s="31" t="str">
        <f t="shared" si="11"/>
        <v/>
      </c>
      <c r="AJ24" s="31" t="str">
        <f t="shared" si="11"/>
        <v/>
      </c>
      <c r="AK24" s="31" t="str">
        <f t="shared" si="11"/>
        <v/>
      </c>
      <c r="AL24" s="31" t="str">
        <f t="shared" si="11"/>
        <v/>
      </c>
      <c r="AM24" s="31" t="str">
        <f t="shared" si="11"/>
        <v/>
      </c>
      <c r="AN24" s="31" t="str">
        <f t="shared" si="11"/>
        <v/>
      </c>
      <c r="AO24" s="31" t="str">
        <f t="shared" si="11"/>
        <v/>
      </c>
      <c r="AP24" s="31" t="str">
        <f t="shared" si="11"/>
        <v/>
      </c>
    </row>
    <row r="25" spans="1:42" ht="18" customHeight="1" x14ac:dyDescent="0.2">
      <c r="A25" s="26" t="s">
        <v>61</v>
      </c>
      <c r="B25" s="27" t="s">
        <v>53</v>
      </c>
      <c r="C25" s="28" t="s">
        <v>62</v>
      </c>
      <c r="D25" s="29" t="s">
        <v>6</v>
      </c>
      <c r="E25" s="30">
        <v>46363</v>
      </c>
      <c r="F25" s="30">
        <v>46369</v>
      </c>
      <c r="G25" s="26">
        <f t="shared" si="2"/>
        <v>7</v>
      </c>
      <c r="H25" s="31" t="str">
        <f t="shared" si="9"/>
        <v/>
      </c>
      <c r="I25" s="31" t="str">
        <f t="shared" si="9"/>
        <v/>
      </c>
      <c r="J25" s="31" t="str">
        <f t="shared" si="9"/>
        <v/>
      </c>
      <c r="K25" s="31" t="str">
        <f t="shared" si="9"/>
        <v/>
      </c>
      <c r="L25" s="31" t="str">
        <f t="shared" si="9"/>
        <v/>
      </c>
      <c r="M25" s="31" t="str">
        <f t="shared" si="9"/>
        <v/>
      </c>
      <c r="N25" s="31" t="str">
        <f t="shared" si="9"/>
        <v/>
      </c>
      <c r="O25" s="31" t="str">
        <f t="shared" si="9"/>
        <v/>
      </c>
      <c r="P25" s="31" t="str">
        <f t="shared" si="9"/>
        <v/>
      </c>
      <c r="Q25" s="31" t="str">
        <f t="shared" si="9"/>
        <v/>
      </c>
      <c r="R25" s="31" t="str">
        <f t="shared" si="10"/>
        <v/>
      </c>
      <c r="S25" s="31" t="str">
        <f t="shared" si="10"/>
        <v/>
      </c>
      <c r="T25" s="31" t="str">
        <f t="shared" si="10"/>
        <v/>
      </c>
      <c r="U25" s="31" t="str">
        <f t="shared" si="10"/>
        <v/>
      </c>
      <c r="V25" s="31" t="str">
        <f t="shared" si="10"/>
        <v/>
      </c>
      <c r="W25" s="31" t="str">
        <f t="shared" si="10"/>
        <v/>
      </c>
      <c r="X25" s="31" t="str">
        <f t="shared" si="10"/>
        <v/>
      </c>
      <c r="Y25" s="31" t="str">
        <f t="shared" si="10"/>
        <v/>
      </c>
      <c r="Z25" s="31" t="str">
        <f t="shared" si="10"/>
        <v/>
      </c>
      <c r="AA25" s="31" t="str">
        <f t="shared" si="10"/>
        <v/>
      </c>
      <c r="AB25" s="31" t="str">
        <f t="shared" si="11"/>
        <v/>
      </c>
      <c r="AC25" s="31" t="str">
        <f t="shared" si="11"/>
        <v/>
      </c>
      <c r="AD25" s="31" t="str">
        <f t="shared" si="11"/>
        <v/>
      </c>
      <c r="AE25" s="31" t="str">
        <f t="shared" si="11"/>
        <v/>
      </c>
      <c r="AF25" s="31" t="str">
        <f t="shared" si="11"/>
        <v/>
      </c>
      <c r="AG25" s="31" t="str">
        <f t="shared" si="11"/>
        <v/>
      </c>
      <c r="AH25" s="31" t="str">
        <f t="shared" si="11"/>
        <v/>
      </c>
      <c r="AI25" s="31" t="str">
        <f t="shared" si="11"/>
        <v/>
      </c>
      <c r="AJ25" s="31" t="str">
        <f t="shared" si="11"/>
        <v/>
      </c>
      <c r="AK25" s="31" t="str">
        <f t="shared" si="11"/>
        <v/>
      </c>
      <c r="AL25" s="31" t="str">
        <f t="shared" si="11"/>
        <v/>
      </c>
      <c r="AM25" s="31" t="str">
        <f t="shared" si="11"/>
        <v/>
      </c>
      <c r="AN25" s="31" t="str">
        <f t="shared" si="11"/>
        <v/>
      </c>
      <c r="AO25" s="31" t="str">
        <f t="shared" si="11"/>
        <v/>
      </c>
      <c r="AP25" s="31" t="str">
        <f t="shared" si="11"/>
        <v/>
      </c>
    </row>
    <row r="26" spans="1:42" ht="18" customHeight="1" x14ac:dyDescent="0.2">
      <c r="A26" s="26" t="s">
        <v>63</v>
      </c>
      <c r="B26" s="27" t="s">
        <v>53</v>
      </c>
      <c r="C26" s="28" t="s">
        <v>64</v>
      </c>
      <c r="D26" s="29" t="s">
        <v>41</v>
      </c>
      <c r="E26" s="30">
        <v>46369</v>
      </c>
      <c r="F26" s="30">
        <v>46369</v>
      </c>
      <c r="G26" s="26">
        <f t="shared" si="2"/>
        <v>1</v>
      </c>
      <c r="H26" s="31" t="str">
        <f t="shared" si="9"/>
        <v/>
      </c>
      <c r="I26" s="31" t="str">
        <f t="shared" si="9"/>
        <v/>
      </c>
      <c r="J26" s="31" t="str">
        <f t="shared" si="9"/>
        <v/>
      </c>
      <c r="K26" s="31" t="str">
        <f t="shared" si="9"/>
        <v/>
      </c>
      <c r="L26" s="31" t="str">
        <f t="shared" si="9"/>
        <v/>
      </c>
      <c r="M26" s="31" t="str">
        <f t="shared" si="9"/>
        <v/>
      </c>
      <c r="N26" s="31" t="str">
        <f t="shared" si="9"/>
        <v/>
      </c>
      <c r="O26" s="31" t="str">
        <f t="shared" si="9"/>
        <v/>
      </c>
      <c r="P26" s="31" t="str">
        <f t="shared" si="9"/>
        <v/>
      </c>
      <c r="Q26" s="31" t="str">
        <f t="shared" si="9"/>
        <v/>
      </c>
      <c r="R26" s="31" t="str">
        <f t="shared" si="10"/>
        <v/>
      </c>
      <c r="S26" s="31" t="str">
        <f t="shared" si="10"/>
        <v/>
      </c>
      <c r="T26" s="31" t="str">
        <f t="shared" si="10"/>
        <v/>
      </c>
      <c r="U26" s="31" t="str">
        <f t="shared" si="10"/>
        <v/>
      </c>
      <c r="V26" s="31" t="str">
        <f t="shared" si="10"/>
        <v>◆</v>
      </c>
      <c r="W26" s="31" t="str">
        <f t="shared" si="10"/>
        <v/>
      </c>
      <c r="X26" s="31" t="str">
        <f t="shared" si="10"/>
        <v/>
      </c>
      <c r="Y26" s="31" t="str">
        <f t="shared" si="10"/>
        <v/>
      </c>
      <c r="Z26" s="31" t="str">
        <f t="shared" si="10"/>
        <v/>
      </c>
      <c r="AA26" s="31" t="str">
        <f t="shared" si="10"/>
        <v/>
      </c>
      <c r="AB26" s="31" t="str">
        <f t="shared" si="11"/>
        <v/>
      </c>
      <c r="AC26" s="31" t="str">
        <f t="shared" si="11"/>
        <v/>
      </c>
      <c r="AD26" s="31" t="str">
        <f t="shared" si="11"/>
        <v/>
      </c>
      <c r="AE26" s="31" t="str">
        <f t="shared" si="11"/>
        <v/>
      </c>
      <c r="AF26" s="31" t="str">
        <f t="shared" si="11"/>
        <v/>
      </c>
      <c r="AG26" s="31" t="str">
        <f t="shared" si="11"/>
        <v/>
      </c>
      <c r="AH26" s="31" t="str">
        <f t="shared" si="11"/>
        <v/>
      </c>
      <c r="AI26" s="31" t="str">
        <f t="shared" si="11"/>
        <v/>
      </c>
      <c r="AJ26" s="31" t="str">
        <f t="shared" si="11"/>
        <v/>
      </c>
      <c r="AK26" s="31" t="str">
        <f t="shared" si="11"/>
        <v/>
      </c>
      <c r="AL26" s="31" t="str">
        <f t="shared" si="11"/>
        <v/>
      </c>
      <c r="AM26" s="31" t="str">
        <f t="shared" si="11"/>
        <v/>
      </c>
      <c r="AN26" s="31" t="str">
        <f t="shared" si="11"/>
        <v/>
      </c>
      <c r="AO26" s="31" t="str">
        <f t="shared" si="11"/>
        <v/>
      </c>
      <c r="AP26" s="31" t="str">
        <f t="shared" si="11"/>
        <v/>
      </c>
    </row>
    <row r="27" spans="1:42" ht="18" customHeight="1" x14ac:dyDescent="0.2">
      <c r="A27" s="22"/>
      <c r="B27" s="23"/>
      <c r="C27" s="23" t="s">
        <v>65</v>
      </c>
      <c r="D27" s="22" t="s">
        <v>19</v>
      </c>
      <c r="E27" s="24">
        <f>IF(COUNT(E28:E38)=0,"",MIN(E28:E38))</f>
        <v>46398</v>
      </c>
      <c r="F27" s="24">
        <f>IF(COUNT(F28:F38)=0,"",MAX(F28:F38))</f>
        <v>46509</v>
      </c>
      <c r="G27" s="22">
        <f t="shared" si="2"/>
        <v>112</v>
      </c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</row>
    <row r="28" spans="1:42" ht="18" customHeight="1" x14ac:dyDescent="0.2">
      <c r="A28" s="26" t="s">
        <v>66</v>
      </c>
      <c r="B28" s="27" t="s">
        <v>67</v>
      </c>
      <c r="C28" s="28" t="s">
        <v>68</v>
      </c>
      <c r="D28" s="29" t="s">
        <v>5</v>
      </c>
      <c r="E28" s="30">
        <v>46398</v>
      </c>
      <c r="F28" s="30">
        <v>46432</v>
      </c>
      <c r="G28" s="26">
        <f t="shared" si="2"/>
        <v>35</v>
      </c>
      <c r="H28" s="31" t="str">
        <f t="shared" ref="H28:Q38" si="12">IF(AND($D28="Milestone",$F28&lt;&gt;"",$F28&gt;=H$7,$F28&lt;=H$7+6),"◆","")</f>
        <v/>
      </c>
      <c r="I28" s="31" t="str">
        <f t="shared" si="12"/>
        <v/>
      </c>
      <c r="J28" s="31" t="str">
        <f t="shared" si="12"/>
        <v/>
      </c>
      <c r="K28" s="31" t="str">
        <f t="shared" si="12"/>
        <v/>
      </c>
      <c r="L28" s="31" t="str">
        <f t="shared" si="12"/>
        <v/>
      </c>
      <c r="M28" s="31" t="str">
        <f t="shared" si="12"/>
        <v/>
      </c>
      <c r="N28" s="31" t="str">
        <f t="shared" si="12"/>
        <v/>
      </c>
      <c r="O28" s="31" t="str">
        <f t="shared" si="12"/>
        <v/>
      </c>
      <c r="P28" s="31" t="str">
        <f t="shared" si="12"/>
        <v/>
      </c>
      <c r="Q28" s="31" t="str">
        <f t="shared" si="12"/>
        <v/>
      </c>
      <c r="R28" s="31" t="str">
        <f t="shared" ref="R28:AA38" si="13">IF(AND($D28="Milestone",$F28&lt;&gt;"",$F28&gt;=R$7,$F28&lt;=R$7+6),"◆","")</f>
        <v/>
      </c>
      <c r="S28" s="31" t="str">
        <f t="shared" si="13"/>
        <v/>
      </c>
      <c r="T28" s="31" t="str">
        <f t="shared" si="13"/>
        <v/>
      </c>
      <c r="U28" s="31" t="str">
        <f t="shared" si="13"/>
        <v/>
      </c>
      <c r="V28" s="31" t="str">
        <f t="shared" si="13"/>
        <v/>
      </c>
      <c r="W28" s="31" t="str">
        <f t="shared" si="13"/>
        <v/>
      </c>
      <c r="X28" s="31" t="str">
        <f t="shared" si="13"/>
        <v/>
      </c>
      <c r="Y28" s="31" t="str">
        <f t="shared" si="13"/>
        <v/>
      </c>
      <c r="Z28" s="31" t="str">
        <f t="shared" si="13"/>
        <v/>
      </c>
      <c r="AA28" s="31" t="str">
        <f t="shared" si="13"/>
        <v/>
      </c>
      <c r="AB28" s="31" t="str">
        <f t="shared" ref="AB28:AP38" si="14">IF(AND($D28="Milestone",$F28&lt;&gt;"",$F28&gt;=AB$7,$F28&lt;=AB$7+6),"◆","")</f>
        <v/>
      </c>
      <c r="AC28" s="31" t="str">
        <f t="shared" si="14"/>
        <v/>
      </c>
      <c r="AD28" s="31" t="str">
        <f t="shared" si="14"/>
        <v/>
      </c>
      <c r="AE28" s="31" t="str">
        <f t="shared" si="14"/>
        <v/>
      </c>
      <c r="AF28" s="31" t="str">
        <f t="shared" si="14"/>
        <v/>
      </c>
      <c r="AG28" s="31" t="str">
        <f t="shared" si="14"/>
        <v/>
      </c>
      <c r="AH28" s="31" t="str">
        <f t="shared" si="14"/>
        <v/>
      </c>
      <c r="AI28" s="31" t="str">
        <f t="shared" si="14"/>
        <v/>
      </c>
      <c r="AJ28" s="31" t="str">
        <f t="shared" si="14"/>
        <v/>
      </c>
      <c r="AK28" s="31" t="str">
        <f t="shared" si="14"/>
        <v/>
      </c>
      <c r="AL28" s="31" t="str">
        <f t="shared" si="14"/>
        <v/>
      </c>
      <c r="AM28" s="31" t="str">
        <f t="shared" si="14"/>
        <v/>
      </c>
      <c r="AN28" s="31" t="str">
        <f t="shared" si="14"/>
        <v/>
      </c>
      <c r="AO28" s="31" t="str">
        <f t="shared" si="14"/>
        <v/>
      </c>
      <c r="AP28" s="31" t="str">
        <f t="shared" si="14"/>
        <v/>
      </c>
    </row>
    <row r="29" spans="1:42" ht="18" customHeight="1" x14ac:dyDescent="0.2">
      <c r="A29" s="26" t="s">
        <v>69</v>
      </c>
      <c r="B29" s="27" t="s">
        <v>67</v>
      </c>
      <c r="C29" s="28" t="s">
        <v>70</v>
      </c>
      <c r="D29" s="29" t="s">
        <v>41</v>
      </c>
      <c r="E29" s="30">
        <v>46432</v>
      </c>
      <c r="F29" s="30">
        <v>46432</v>
      </c>
      <c r="G29" s="26">
        <f t="shared" si="2"/>
        <v>1</v>
      </c>
      <c r="H29" s="31" t="str">
        <f t="shared" si="12"/>
        <v/>
      </c>
      <c r="I29" s="31" t="str">
        <f t="shared" si="12"/>
        <v/>
      </c>
      <c r="J29" s="31" t="str">
        <f t="shared" si="12"/>
        <v/>
      </c>
      <c r="K29" s="31" t="str">
        <f t="shared" si="12"/>
        <v/>
      </c>
      <c r="L29" s="31" t="str">
        <f t="shared" si="12"/>
        <v/>
      </c>
      <c r="M29" s="31" t="str">
        <f t="shared" si="12"/>
        <v/>
      </c>
      <c r="N29" s="31" t="str">
        <f t="shared" si="12"/>
        <v/>
      </c>
      <c r="O29" s="31" t="str">
        <f t="shared" si="12"/>
        <v/>
      </c>
      <c r="P29" s="31" t="str">
        <f t="shared" si="12"/>
        <v/>
      </c>
      <c r="Q29" s="31" t="str">
        <f t="shared" si="12"/>
        <v/>
      </c>
      <c r="R29" s="31" t="str">
        <f t="shared" si="13"/>
        <v/>
      </c>
      <c r="S29" s="31" t="str">
        <f t="shared" si="13"/>
        <v/>
      </c>
      <c r="T29" s="31" t="str">
        <f t="shared" si="13"/>
        <v/>
      </c>
      <c r="U29" s="31" t="str">
        <f t="shared" si="13"/>
        <v/>
      </c>
      <c r="V29" s="31" t="str">
        <f t="shared" si="13"/>
        <v/>
      </c>
      <c r="W29" s="31" t="str">
        <f t="shared" si="13"/>
        <v/>
      </c>
      <c r="X29" s="31" t="str">
        <f t="shared" si="13"/>
        <v/>
      </c>
      <c r="Y29" s="31" t="str">
        <f t="shared" si="13"/>
        <v/>
      </c>
      <c r="Z29" s="31" t="str">
        <f t="shared" si="13"/>
        <v/>
      </c>
      <c r="AA29" s="31" t="str">
        <f t="shared" si="13"/>
        <v/>
      </c>
      <c r="AB29" s="31" t="str">
        <f t="shared" si="14"/>
        <v/>
      </c>
      <c r="AC29" s="31" t="str">
        <f t="shared" si="14"/>
        <v/>
      </c>
      <c r="AD29" s="31" t="str">
        <f t="shared" si="14"/>
        <v/>
      </c>
      <c r="AE29" s="31" t="str">
        <f t="shared" si="14"/>
        <v>◆</v>
      </c>
      <c r="AF29" s="31" t="str">
        <f t="shared" si="14"/>
        <v/>
      </c>
      <c r="AG29" s="31" t="str">
        <f t="shared" si="14"/>
        <v/>
      </c>
      <c r="AH29" s="31" t="str">
        <f t="shared" si="14"/>
        <v/>
      </c>
      <c r="AI29" s="31" t="str">
        <f t="shared" si="14"/>
        <v/>
      </c>
      <c r="AJ29" s="31" t="str">
        <f t="shared" si="14"/>
        <v/>
      </c>
      <c r="AK29" s="31" t="str">
        <f t="shared" si="14"/>
        <v/>
      </c>
      <c r="AL29" s="31" t="str">
        <f t="shared" si="14"/>
        <v/>
      </c>
      <c r="AM29" s="31" t="str">
        <f t="shared" si="14"/>
        <v/>
      </c>
      <c r="AN29" s="31" t="str">
        <f t="shared" si="14"/>
        <v/>
      </c>
      <c r="AO29" s="31" t="str">
        <f t="shared" si="14"/>
        <v/>
      </c>
      <c r="AP29" s="31" t="str">
        <f t="shared" si="14"/>
        <v/>
      </c>
    </row>
    <row r="30" spans="1:42" ht="18" customHeight="1" x14ac:dyDescent="0.2">
      <c r="A30" s="26" t="s">
        <v>71</v>
      </c>
      <c r="B30" s="27" t="s">
        <v>72</v>
      </c>
      <c r="C30" s="28" t="s">
        <v>73</v>
      </c>
      <c r="D30" s="29" t="s">
        <v>5</v>
      </c>
      <c r="E30" s="30">
        <v>46433</v>
      </c>
      <c r="F30" s="30">
        <v>46474</v>
      </c>
      <c r="G30" s="26">
        <f t="shared" si="2"/>
        <v>42</v>
      </c>
      <c r="H30" s="31" t="str">
        <f t="shared" si="12"/>
        <v/>
      </c>
      <c r="I30" s="31" t="str">
        <f t="shared" si="12"/>
        <v/>
      </c>
      <c r="J30" s="31" t="str">
        <f t="shared" si="12"/>
        <v/>
      </c>
      <c r="K30" s="31" t="str">
        <f t="shared" si="12"/>
        <v/>
      </c>
      <c r="L30" s="31" t="str">
        <f t="shared" si="12"/>
        <v/>
      </c>
      <c r="M30" s="31" t="str">
        <f t="shared" si="12"/>
        <v/>
      </c>
      <c r="N30" s="31" t="str">
        <f t="shared" si="12"/>
        <v/>
      </c>
      <c r="O30" s="31" t="str">
        <f t="shared" si="12"/>
        <v/>
      </c>
      <c r="P30" s="31" t="str">
        <f t="shared" si="12"/>
        <v/>
      </c>
      <c r="Q30" s="31" t="str">
        <f t="shared" si="12"/>
        <v/>
      </c>
      <c r="R30" s="31" t="str">
        <f t="shared" si="13"/>
        <v/>
      </c>
      <c r="S30" s="31" t="str">
        <f t="shared" si="13"/>
        <v/>
      </c>
      <c r="T30" s="31" t="str">
        <f t="shared" si="13"/>
        <v/>
      </c>
      <c r="U30" s="31" t="str">
        <f t="shared" si="13"/>
        <v/>
      </c>
      <c r="V30" s="31" t="str">
        <f t="shared" si="13"/>
        <v/>
      </c>
      <c r="W30" s="31" t="str">
        <f t="shared" si="13"/>
        <v/>
      </c>
      <c r="X30" s="31" t="str">
        <f t="shared" si="13"/>
        <v/>
      </c>
      <c r="Y30" s="31" t="str">
        <f t="shared" si="13"/>
        <v/>
      </c>
      <c r="Z30" s="31" t="str">
        <f t="shared" si="13"/>
        <v/>
      </c>
      <c r="AA30" s="31" t="str">
        <f t="shared" si="13"/>
        <v/>
      </c>
      <c r="AB30" s="31" t="str">
        <f t="shared" si="14"/>
        <v/>
      </c>
      <c r="AC30" s="31" t="str">
        <f t="shared" si="14"/>
        <v/>
      </c>
      <c r="AD30" s="31" t="str">
        <f t="shared" si="14"/>
        <v/>
      </c>
      <c r="AE30" s="31" t="str">
        <f t="shared" si="14"/>
        <v/>
      </c>
      <c r="AF30" s="31" t="str">
        <f t="shared" si="14"/>
        <v/>
      </c>
      <c r="AG30" s="31" t="str">
        <f t="shared" si="14"/>
        <v/>
      </c>
      <c r="AH30" s="31" t="str">
        <f t="shared" si="14"/>
        <v/>
      </c>
      <c r="AI30" s="31" t="str">
        <f t="shared" si="14"/>
        <v/>
      </c>
      <c r="AJ30" s="31" t="str">
        <f t="shared" si="14"/>
        <v/>
      </c>
      <c r="AK30" s="31" t="str">
        <f t="shared" si="14"/>
        <v/>
      </c>
      <c r="AL30" s="31" t="str">
        <f t="shared" si="14"/>
        <v/>
      </c>
      <c r="AM30" s="31" t="str">
        <f t="shared" si="14"/>
        <v/>
      </c>
      <c r="AN30" s="31" t="str">
        <f t="shared" si="14"/>
        <v/>
      </c>
      <c r="AO30" s="31" t="str">
        <f t="shared" si="14"/>
        <v/>
      </c>
      <c r="AP30" s="31" t="str">
        <f t="shared" si="14"/>
        <v/>
      </c>
    </row>
    <row r="31" spans="1:42" ht="18" customHeight="1" x14ac:dyDescent="0.2">
      <c r="A31" s="26" t="s">
        <v>74</v>
      </c>
      <c r="B31" s="27" t="s">
        <v>72</v>
      </c>
      <c r="C31" s="28" t="s">
        <v>75</v>
      </c>
      <c r="D31" s="29" t="s">
        <v>41</v>
      </c>
      <c r="E31" s="30">
        <v>46474</v>
      </c>
      <c r="F31" s="30">
        <v>46474</v>
      </c>
      <c r="G31" s="26">
        <f t="shared" si="2"/>
        <v>1</v>
      </c>
      <c r="H31" s="31" t="str">
        <f t="shared" si="12"/>
        <v/>
      </c>
      <c r="I31" s="31" t="str">
        <f t="shared" si="12"/>
        <v/>
      </c>
      <c r="J31" s="31" t="str">
        <f t="shared" si="12"/>
        <v/>
      </c>
      <c r="K31" s="31" t="str">
        <f t="shared" si="12"/>
        <v/>
      </c>
      <c r="L31" s="31" t="str">
        <f t="shared" si="12"/>
        <v/>
      </c>
      <c r="M31" s="31" t="str">
        <f t="shared" si="12"/>
        <v/>
      </c>
      <c r="N31" s="31" t="str">
        <f t="shared" si="12"/>
        <v/>
      </c>
      <c r="O31" s="31" t="str">
        <f t="shared" si="12"/>
        <v/>
      </c>
      <c r="P31" s="31" t="str">
        <f t="shared" si="12"/>
        <v/>
      </c>
      <c r="Q31" s="31" t="str">
        <f t="shared" si="12"/>
        <v/>
      </c>
      <c r="R31" s="31" t="str">
        <f t="shared" si="13"/>
        <v/>
      </c>
      <c r="S31" s="31" t="str">
        <f t="shared" si="13"/>
        <v/>
      </c>
      <c r="T31" s="31" t="str">
        <f t="shared" si="13"/>
        <v/>
      </c>
      <c r="U31" s="31" t="str">
        <f t="shared" si="13"/>
        <v/>
      </c>
      <c r="V31" s="31" t="str">
        <f t="shared" si="13"/>
        <v/>
      </c>
      <c r="W31" s="31" t="str">
        <f t="shared" si="13"/>
        <v/>
      </c>
      <c r="X31" s="31" t="str">
        <f t="shared" si="13"/>
        <v/>
      </c>
      <c r="Y31" s="31" t="str">
        <f t="shared" si="13"/>
        <v/>
      </c>
      <c r="Z31" s="31" t="str">
        <f t="shared" si="13"/>
        <v/>
      </c>
      <c r="AA31" s="31" t="str">
        <f t="shared" si="13"/>
        <v/>
      </c>
      <c r="AB31" s="31" t="str">
        <f t="shared" si="14"/>
        <v/>
      </c>
      <c r="AC31" s="31" t="str">
        <f t="shared" si="14"/>
        <v/>
      </c>
      <c r="AD31" s="31" t="str">
        <f t="shared" si="14"/>
        <v/>
      </c>
      <c r="AE31" s="31" t="str">
        <f t="shared" si="14"/>
        <v/>
      </c>
      <c r="AF31" s="31" t="str">
        <f t="shared" si="14"/>
        <v/>
      </c>
      <c r="AG31" s="31" t="str">
        <f t="shared" si="14"/>
        <v/>
      </c>
      <c r="AH31" s="31" t="str">
        <f t="shared" si="14"/>
        <v/>
      </c>
      <c r="AI31" s="31" t="str">
        <f t="shared" si="14"/>
        <v/>
      </c>
      <c r="AJ31" s="31" t="str">
        <f t="shared" si="14"/>
        <v/>
      </c>
      <c r="AK31" s="31" t="str">
        <f t="shared" si="14"/>
        <v>◆</v>
      </c>
      <c r="AL31" s="31" t="str">
        <f t="shared" si="14"/>
        <v/>
      </c>
      <c r="AM31" s="31" t="str">
        <f t="shared" si="14"/>
        <v/>
      </c>
      <c r="AN31" s="31" t="str">
        <f t="shared" si="14"/>
        <v/>
      </c>
      <c r="AO31" s="31" t="str">
        <f t="shared" si="14"/>
        <v/>
      </c>
      <c r="AP31" s="31" t="str">
        <f t="shared" si="14"/>
        <v/>
      </c>
    </row>
    <row r="32" spans="1:42" ht="18" customHeight="1" x14ac:dyDescent="0.2">
      <c r="A32" s="26" t="s">
        <v>76</v>
      </c>
      <c r="B32" s="27" t="s">
        <v>77</v>
      </c>
      <c r="C32" s="28" t="s">
        <v>78</v>
      </c>
      <c r="D32" s="29" t="s">
        <v>6</v>
      </c>
      <c r="E32" s="30">
        <v>46475</v>
      </c>
      <c r="F32" s="30">
        <v>46502</v>
      </c>
      <c r="G32" s="26">
        <f t="shared" si="2"/>
        <v>28</v>
      </c>
      <c r="H32" s="31" t="str">
        <f t="shared" si="12"/>
        <v/>
      </c>
      <c r="I32" s="31" t="str">
        <f t="shared" si="12"/>
        <v/>
      </c>
      <c r="J32" s="31" t="str">
        <f t="shared" si="12"/>
        <v/>
      </c>
      <c r="K32" s="31" t="str">
        <f t="shared" si="12"/>
        <v/>
      </c>
      <c r="L32" s="31" t="str">
        <f t="shared" si="12"/>
        <v/>
      </c>
      <c r="M32" s="31" t="str">
        <f t="shared" si="12"/>
        <v/>
      </c>
      <c r="N32" s="31" t="str">
        <f t="shared" si="12"/>
        <v/>
      </c>
      <c r="O32" s="31" t="str">
        <f t="shared" si="12"/>
        <v/>
      </c>
      <c r="P32" s="31" t="str">
        <f t="shared" si="12"/>
        <v/>
      </c>
      <c r="Q32" s="31" t="str">
        <f t="shared" si="12"/>
        <v/>
      </c>
      <c r="R32" s="31" t="str">
        <f t="shared" si="13"/>
        <v/>
      </c>
      <c r="S32" s="31" t="str">
        <f t="shared" si="13"/>
        <v/>
      </c>
      <c r="T32" s="31" t="str">
        <f t="shared" si="13"/>
        <v/>
      </c>
      <c r="U32" s="31" t="str">
        <f t="shared" si="13"/>
        <v/>
      </c>
      <c r="V32" s="31" t="str">
        <f t="shared" si="13"/>
        <v/>
      </c>
      <c r="W32" s="31" t="str">
        <f t="shared" si="13"/>
        <v/>
      </c>
      <c r="X32" s="31" t="str">
        <f t="shared" si="13"/>
        <v/>
      </c>
      <c r="Y32" s="31" t="str">
        <f t="shared" si="13"/>
        <v/>
      </c>
      <c r="Z32" s="31" t="str">
        <f t="shared" si="13"/>
        <v/>
      </c>
      <c r="AA32" s="31" t="str">
        <f t="shared" si="13"/>
        <v/>
      </c>
      <c r="AB32" s="31" t="str">
        <f t="shared" si="14"/>
        <v/>
      </c>
      <c r="AC32" s="31" t="str">
        <f t="shared" si="14"/>
        <v/>
      </c>
      <c r="AD32" s="31" t="str">
        <f t="shared" si="14"/>
        <v/>
      </c>
      <c r="AE32" s="31" t="str">
        <f t="shared" si="14"/>
        <v/>
      </c>
      <c r="AF32" s="31" t="str">
        <f t="shared" si="14"/>
        <v/>
      </c>
      <c r="AG32" s="31" t="str">
        <f t="shared" si="14"/>
        <v/>
      </c>
      <c r="AH32" s="31" t="str">
        <f t="shared" si="14"/>
        <v/>
      </c>
      <c r="AI32" s="31" t="str">
        <f t="shared" si="14"/>
        <v/>
      </c>
      <c r="AJ32" s="31" t="str">
        <f t="shared" si="14"/>
        <v/>
      </c>
      <c r="AK32" s="31" t="str">
        <f t="shared" si="14"/>
        <v/>
      </c>
      <c r="AL32" s="31" t="str">
        <f t="shared" si="14"/>
        <v/>
      </c>
      <c r="AM32" s="31" t="str">
        <f t="shared" si="14"/>
        <v/>
      </c>
      <c r="AN32" s="31" t="str">
        <f t="shared" si="14"/>
        <v/>
      </c>
      <c r="AO32" s="31" t="str">
        <f t="shared" si="14"/>
        <v/>
      </c>
      <c r="AP32" s="31" t="str">
        <f t="shared" si="14"/>
        <v/>
      </c>
    </row>
    <row r="33" spans="1:42" ht="18" customHeight="1" x14ac:dyDescent="0.2">
      <c r="A33" s="26" t="s">
        <v>79</v>
      </c>
      <c r="B33" s="27" t="s">
        <v>77</v>
      </c>
      <c r="C33" s="28" t="s">
        <v>80</v>
      </c>
      <c r="D33" s="29" t="s">
        <v>5</v>
      </c>
      <c r="E33" s="30">
        <v>46475</v>
      </c>
      <c r="F33" s="30">
        <v>46509</v>
      </c>
      <c r="G33" s="26">
        <f t="shared" si="2"/>
        <v>35</v>
      </c>
      <c r="H33" s="31" t="str">
        <f t="shared" si="12"/>
        <v/>
      </c>
      <c r="I33" s="31" t="str">
        <f t="shared" si="12"/>
        <v/>
      </c>
      <c r="J33" s="31" t="str">
        <f t="shared" si="12"/>
        <v/>
      </c>
      <c r="K33" s="31" t="str">
        <f t="shared" si="12"/>
        <v/>
      </c>
      <c r="L33" s="31" t="str">
        <f t="shared" si="12"/>
        <v/>
      </c>
      <c r="M33" s="31" t="str">
        <f t="shared" si="12"/>
        <v/>
      </c>
      <c r="N33" s="31" t="str">
        <f t="shared" si="12"/>
        <v/>
      </c>
      <c r="O33" s="31" t="str">
        <f t="shared" si="12"/>
        <v/>
      </c>
      <c r="P33" s="31" t="str">
        <f t="shared" si="12"/>
        <v/>
      </c>
      <c r="Q33" s="31" t="str">
        <f t="shared" si="12"/>
        <v/>
      </c>
      <c r="R33" s="31" t="str">
        <f t="shared" si="13"/>
        <v/>
      </c>
      <c r="S33" s="31" t="str">
        <f t="shared" si="13"/>
        <v/>
      </c>
      <c r="T33" s="31" t="str">
        <f t="shared" si="13"/>
        <v/>
      </c>
      <c r="U33" s="31" t="str">
        <f t="shared" si="13"/>
        <v/>
      </c>
      <c r="V33" s="31" t="str">
        <f t="shared" si="13"/>
        <v/>
      </c>
      <c r="W33" s="31" t="str">
        <f t="shared" si="13"/>
        <v/>
      </c>
      <c r="X33" s="31" t="str">
        <f t="shared" si="13"/>
        <v/>
      </c>
      <c r="Y33" s="31" t="str">
        <f t="shared" si="13"/>
        <v/>
      </c>
      <c r="Z33" s="31" t="str">
        <f t="shared" si="13"/>
        <v/>
      </c>
      <c r="AA33" s="31" t="str">
        <f t="shared" si="13"/>
        <v/>
      </c>
      <c r="AB33" s="31" t="str">
        <f t="shared" si="14"/>
        <v/>
      </c>
      <c r="AC33" s="31" t="str">
        <f t="shared" si="14"/>
        <v/>
      </c>
      <c r="AD33" s="31" t="str">
        <f t="shared" si="14"/>
        <v/>
      </c>
      <c r="AE33" s="31" t="str">
        <f t="shared" si="14"/>
        <v/>
      </c>
      <c r="AF33" s="31" t="str">
        <f t="shared" si="14"/>
        <v/>
      </c>
      <c r="AG33" s="31" t="str">
        <f t="shared" si="14"/>
        <v/>
      </c>
      <c r="AH33" s="31" t="str">
        <f t="shared" si="14"/>
        <v/>
      </c>
      <c r="AI33" s="31" t="str">
        <f t="shared" si="14"/>
        <v/>
      </c>
      <c r="AJ33" s="31" t="str">
        <f t="shared" si="14"/>
        <v/>
      </c>
      <c r="AK33" s="31" t="str">
        <f t="shared" si="14"/>
        <v/>
      </c>
      <c r="AL33" s="31" t="str">
        <f t="shared" si="14"/>
        <v/>
      </c>
      <c r="AM33" s="31" t="str">
        <f t="shared" si="14"/>
        <v/>
      </c>
      <c r="AN33" s="31" t="str">
        <f t="shared" si="14"/>
        <v/>
      </c>
      <c r="AO33" s="31" t="str">
        <f t="shared" si="14"/>
        <v/>
      </c>
      <c r="AP33" s="31" t="str">
        <f t="shared" si="14"/>
        <v/>
      </c>
    </row>
    <row r="34" spans="1:42" ht="18" customHeight="1" x14ac:dyDescent="0.2">
      <c r="A34" s="26" t="s">
        <v>81</v>
      </c>
      <c r="B34" s="27" t="s">
        <v>77</v>
      </c>
      <c r="C34" s="28" t="s">
        <v>82</v>
      </c>
      <c r="D34" s="29" t="s">
        <v>5</v>
      </c>
      <c r="E34" s="30">
        <v>46475</v>
      </c>
      <c r="F34" s="30">
        <v>46509</v>
      </c>
      <c r="G34" s="26">
        <f t="shared" si="2"/>
        <v>35</v>
      </c>
      <c r="H34" s="31" t="str">
        <f t="shared" si="12"/>
        <v/>
      </c>
      <c r="I34" s="31" t="str">
        <f t="shared" si="12"/>
        <v/>
      </c>
      <c r="J34" s="31" t="str">
        <f t="shared" si="12"/>
        <v/>
      </c>
      <c r="K34" s="31" t="str">
        <f t="shared" si="12"/>
        <v/>
      </c>
      <c r="L34" s="31" t="str">
        <f t="shared" si="12"/>
        <v/>
      </c>
      <c r="M34" s="31" t="str">
        <f t="shared" si="12"/>
        <v/>
      </c>
      <c r="N34" s="31" t="str">
        <f t="shared" si="12"/>
        <v/>
      </c>
      <c r="O34" s="31" t="str">
        <f t="shared" si="12"/>
        <v/>
      </c>
      <c r="P34" s="31" t="str">
        <f t="shared" si="12"/>
        <v/>
      </c>
      <c r="Q34" s="31" t="str">
        <f t="shared" si="12"/>
        <v/>
      </c>
      <c r="R34" s="31" t="str">
        <f t="shared" si="13"/>
        <v/>
      </c>
      <c r="S34" s="31" t="str">
        <f t="shared" si="13"/>
        <v/>
      </c>
      <c r="T34" s="31" t="str">
        <f t="shared" si="13"/>
        <v/>
      </c>
      <c r="U34" s="31" t="str">
        <f t="shared" si="13"/>
        <v/>
      </c>
      <c r="V34" s="31" t="str">
        <f t="shared" si="13"/>
        <v/>
      </c>
      <c r="W34" s="31" t="str">
        <f t="shared" si="13"/>
        <v/>
      </c>
      <c r="X34" s="31" t="str">
        <f t="shared" si="13"/>
        <v/>
      </c>
      <c r="Y34" s="31" t="str">
        <f t="shared" si="13"/>
        <v/>
      </c>
      <c r="Z34" s="31" t="str">
        <f t="shared" si="13"/>
        <v/>
      </c>
      <c r="AA34" s="31" t="str">
        <f t="shared" si="13"/>
        <v/>
      </c>
      <c r="AB34" s="31" t="str">
        <f t="shared" si="14"/>
        <v/>
      </c>
      <c r="AC34" s="31" t="str">
        <f t="shared" si="14"/>
        <v/>
      </c>
      <c r="AD34" s="31" t="str">
        <f t="shared" si="14"/>
        <v/>
      </c>
      <c r="AE34" s="31" t="str">
        <f t="shared" si="14"/>
        <v/>
      </c>
      <c r="AF34" s="31" t="str">
        <f t="shared" si="14"/>
        <v/>
      </c>
      <c r="AG34" s="31" t="str">
        <f t="shared" si="14"/>
        <v/>
      </c>
      <c r="AH34" s="31" t="str">
        <f t="shared" si="14"/>
        <v/>
      </c>
      <c r="AI34" s="31" t="str">
        <f t="shared" si="14"/>
        <v/>
      </c>
      <c r="AJ34" s="31" t="str">
        <f t="shared" si="14"/>
        <v/>
      </c>
      <c r="AK34" s="31" t="str">
        <f t="shared" si="14"/>
        <v/>
      </c>
      <c r="AL34" s="31" t="str">
        <f t="shared" si="14"/>
        <v/>
      </c>
      <c r="AM34" s="31" t="str">
        <f t="shared" si="14"/>
        <v/>
      </c>
      <c r="AN34" s="31" t="str">
        <f t="shared" si="14"/>
        <v/>
      </c>
      <c r="AO34" s="31" t="str">
        <f t="shared" si="14"/>
        <v/>
      </c>
      <c r="AP34" s="31" t="str">
        <f t="shared" si="14"/>
        <v/>
      </c>
    </row>
    <row r="35" spans="1:42" ht="18" customHeight="1" x14ac:dyDescent="0.2">
      <c r="A35" s="26" t="s">
        <v>83</v>
      </c>
      <c r="B35" s="27" t="s">
        <v>77</v>
      </c>
      <c r="C35" s="28" t="s">
        <v>84</v>
      </c>
      <c r="D35" s="29" t="s">
        <v>5</v>
      </c>
      <c r="E35" s="30">
        <v>46475</v>
      </c>
      <c r="F35" s="30">
        <v>46509</v>
      </c>
      <c r="G35" s="26">
        <f t="shared" si="2"/>
        <v>35</v>
      </c>
      <c r="H35" s="31" t="str">
        <f t="shared" si="12"/>
        <v/>
      </c>
      <c r="I35" s="31" t="str">
        <f t="shared" si="12"/>
        <v/>
      </c>
      <c r="J35" s="31" t="str">
        <f t="shared" si="12"/>
        <v/>
      </c>
      <c r="K35" s="31" t="str">
        <f t="shared" si="12"/>
        <v/>
      </c>
      <c r="L35" s="31" t="str">
        <f t="shared" si="12"/>
        <v/>
      </c>
      <c r="M35" s="31" t="str">
        <f t="shared" si="12"/>
        <v/>
      </c>
      <c r="N35" s="31" t="str">
        <f t="shared" si="12"/>
        <v/>
      </c>
      <c r="O35" s="31" t="str">
        <f t="shared" si="12"/>
        <v/>
      </c>
      <c r="P35" s="31" t="str">
        <f t="shared" si="12"/>
        <v/>
      </c>
      <c r="Q35" s="31" t="str">
        <f t="shared" si="12"/>
        <v/>
      </c>
      <c r="R35" s="31" t="str">
        <f t="shared" si="13"/>
        <v/>
      </c>
      <c r="S35" s="31" t="str">
        <f t="shared" si="13"/>
        <v/>
      </c>
      <c r="T35" s="31" t="str">
        <f t="shared" si="13"/>
        <v/>
      </c>
      <c r="U35" s="31" t="str">
        <f t="shared" si="13"/>
        <v/>
      </c>
      <c r="V35" s="31" t="str">
        <f t="shared" si="13"/>
        <v/>
      </c>
      <c r="W35" s="31" t="str">
        <f t="shared" si="13"/>
        <v/>
      </c>
      <c r="X35" s="31" t="str">
        <f t="shared" si="13"/>
        <v/>
      </c>
      <c r="Y35" s="31" t="str">
        <f t="shared" si="13"/>
        <v/>
      </c>
      <c r="Z35" s="31" t="str">
        <f t="shared" si="13"/>
        <v/>
      </c>
      <c r="AA35" s="31" t="str">
        <f t="shared" si="13"/>
        <v/>
      </c>
      <c r="AB35" s="31" t="str">
        <f t="shared" si="14"/>
        <v/>
      </c>
      <c r="AC35" s="31" t="str">
        <f t="shared" si="14"/>
        <v/>
      </c>
      <c r="AD35" s="31" t="str">
        <f t="shared" si="14"/>
        <v/>
      </c>
      <c r="AE35" s="31" t="str">
        <f t="shared" si="14"/>
        <v/>
      </c>
      <c r="AF35" s="31" t="str">
        <f t="shared" si="14"/>
        <v/>
      </c>
      <c r="AG35" s="31" t="str">
        <f t="shared" si="14"/>
        <v/>
      </c>
      <c r="AH35" s="31" t="str">
        <f t="shared" si="14"/>
        <v/>
      </c>
      <c r="AI35" s="31" t="str">
        <f t="shared" si="14"/>
        <v/>
      </c>
      <c r="AJ35" s="31" t="str">
        <f t="shared" si="14"/>
        <v/>
      </c>
      <c r="AK35" s="31" t="str">
        <f t="shared" si="14"/>
        <v/>
      </c>
      <c r="AL35" s="31" t="str">
        <f t="shared" si="14"/>
        <v/>
      </c>
      <c r="AM35" s="31" t="str">
        <f t="shared" si="14"/>
        <v/>
      </c>
      <c r="AN35" s="31" t="str">
        <f t="shared" si="14"/>
        <v/>
      </c>
      <c r="AO35" s="31" t="str">
        <f t="shared" si="14"/>
        <v/>
      </c>
      <c r="AP35" s="31" t="str">
        <f t="shared" si="14"/>
        <v/>
      </c>
    </row>
    <row r="36" spans="1:42" ht="18" customHeight="1" x14ac:dyDescent="0.2">
      <c r="A36" s="26" t="s">
        <v>85</v>
      </c>
      <c r="B36" s="27" t="s">
        <v>77</v>
      </c>
      <c r="C36" s="28" t="s">
        <v>86</v>
      </c>
      <c r="D36" s="29" t="s">
        <v>5</v>
      </c>
      <c r="E36" s="30">
        <v>46475</v>
      </c>
      <c r="F36" s="30">
        <v>46509</v>
      </c>
      <c r="G36" s="26">
        <f t="shared" si="2"/>
        <v>35</v>
      </c>
      <c r="H36" s="31" t="str">
        <f t="shared" si="12"/>
        <v/>
      </c>
      <c r="I36" s="31" t="str">
        <f t="shared" si="12"/>
        <v/>
      </c>
      <c r="J36" s="31" t="str">
        <f t="shared" si="12"/>
        <v/>
      </c>
      <c r="K36" s="31" t="str">
        <f t="shared" si="12"/>
        <v/>
      </c>
      <c r="L36" s="31" t="str">
        <f t="shared" si="12"/>
        <v/>
      </c>
      <c r="M36" s="31" t="str">
        <f t="shared" si="12"/>
        <v/>
      </c>
      <c r="N36" s="31" t="str">
        <f t="shared" si="12"/>
        <v/>
      </c>
      <c r="O36" s="31" t="str">
        <f t="shared" si="12"/>
        <v/>
      </c>
      <c r="P36" s="31" t="str">
        <f t="shared" si="12"/>
        <v/>
      </c>
      <c r="Q36" s="31" t="str">
        <f t="shared" si="12"/>
        <v/>
      </c>
      <c r="R36" s="31" t="str">
        <f t="shared" si="13"/>
        <v/>
      </c>
      <c r="S36" s="31" t="str">
        <f t="shared" si="13"/>
        <v/>
      </c>
      <c r="T36" s="31" t="str">
        <f t="shared" si="13"/>
        <v/>
      </c>
      <c r="U36" s="31" t="str">
        <f t="shared" si="13"/>
        <v/>
      </c>
      <c r="V36" s="31" t="str">
        <f t="shared" si="13"/>
        <v/>
      </c>
      <c r="W36" s="31" t="str">
        <f t="shared" si="13"/>
        <v/>
      </c>
      <c r="X36" s="31" t="str">
        <f t="shared" si="13"/>
        <v/>
      </c>
      <c r="Y36" s="31" t="str">
        <f t="shared" si="13"/>
        <v/>
      </c>
      <c r="Z36" s="31" t="str">
        <f t="shared" si="13"/>
        <v/>
      </c>
      <c r="AA36" s="31" t="str">
        <f t="shared" si="13"/>
        <v/>
      </c>
      <c r="AB36" s="31" t="str">
        <f t="shared" si="14"/>
        <v/>
      </c>
      <c r="AC36" s="31" t="str">
        <f t="shared" si="14"/>
        <v/>
      </c>
      <c r="AD36" s="31" t="str">
        <f t="shared" si="14"/>
        <v/>
      </c>
      <c r="AE36" s="31" t="str">
        <f t="shared" si="14"/>
        <v/>
      </c>
      <c r="AF36" s="31" t="str">
        <f t="shared" si="14"/>
        <v/>
      </c>
      <c r="AG36" s="31" t="str">
        <f t="shared" si="14"/>
        <v/>
      </c>
      <c r="AH36" s="31" t="str">
        <f t="shared" si="14"/>
        <v/>
      </c>
      <c r="AI36" s="31" t="str">
        <f t="shared" si="14"/>
        <v/>
      </c>
      <c r="AJ36" s="31" t="str">
        <f t="shared" si="14"/>
        <v/>
      </c>
      <c r="AK36" s="31" t="str">
        <f t="shared" si="14"/>
        <v/>
      </c>
      <c r="AL36" s="31" t="str">
        <f t="shared" si="14"/>
        <v/>
      </c>
      <c r="AM36" s="31" t="str">
        <f t="shared" si="14"/>
        <v/>
      </c>
      <c r="AN36" s="31" t="str">
        <f t="shared" si="14"/>
        <v/>
      </c>
      <c r="AO36" s="31" t="str">
        <f t="shared" si="14"/>
        <v/>
      </c>
      <c r="AP36" s="31" t="str">
        <f t="shared" si="14"/>
        <v/>
      </c>
    </row>
    <row r="37" spans="1:42" ht="18" customHeight="1" x14ac:dyDescent="0.2">
      <c r="A37" s="26" t="s">
        <v>87</v>
      </c>
      <c r="B37" s="27" t="s">
        <v>77</v>
      </c>
      <c r="C37" s="28" t="s">
        <v>88</v>
      </c>
      <c r="D37" s="29" t="s">
        <v>41</v>
      </c>
      <c r="E37" s="30">
        <v>46509</v>
      </c>
      <c r="F37" s="30">
        <v>46509</v>
      </c>
      <c r="G37" s="26">
        <f t="shared" si="2"/>
        <v>1</v>
      </c>
      <c r="H37" s="31" t="str">
        <f t="shared" si="12"/>
        <v/>
      </c>
      <c r="I37" s="31" t="str">
        <f t="shared" si="12"/>
        <v/>
      </c>
      <c r="J37" s="31" t="str">
        <f t="shared" si="12"/>
        <v/>
      </c>
      <c r="K37" s="31" t="str">
        <f t="shared" si="12"/>
        <v/>
      </c>
      <c r="L37" s="31" t="str">
        <f t="shared" si="12"/>
        <v/>
      </c>
      <c r="M37" s="31" t="str">
        <f t="shared" si="12"/>
        <v/>
      </c>
      <c r="N37" s="31" t="str">
        <f t="shared" si="12"/>
        <v/>
      </c>
      <c r="O37" s="31" t="str">
        <f t="shared" si="12"/>
        <v/>
      </c>
      <c r="P37" s="31" t="str">
        <f t="shared" si="12"/>
        <v/>
      </c>
      <c r="Q37" s="31" t="str">
        <f t="shared" si="12"/>
        <v/>
      </c>
      <c r="R37" s="31" t="str">
        <f t="shared" si="13"/>
        <v/>
      </c>
      <c r="S37" s="31" t="str">
        <f t="shared" si="13"/>
        <v/>
      </c>
      <c r="T37" s="31" t="str">
        <f t="shared" si="13"/>
        <v/>
      </c>
      <c r="U37" s="31" t="str">
        <f t="shared" si="13"/>
        <v/>
      </c>
      <c r="V37" s="31" t="str">
        <f t="shared" si="13"/>
        <v/>
      </c>
      <c r="W37" s="31" t="str">
        <f t="shared" si="13"/>
        <v/>
      </c>
      <c r="X37" s="31" t="str">
        <f t="shared" si="13"/>
        <v/>
      </c>
      <c r="Y37" s="31" t="str">
        <f t="shared" si="13"/>
        <v/>
      </c>
      <c r="Z37" s="31" t="str">
        <f t="shared" si="13"/>
        <v/>
      </c>
      <c r="AA37" s="31" t="str">
        <f t="shared" si="13"/>
        <v/>
      </c>
      <c r="AB37" s="31" t="str">
        <f t="shared" si="14"/>
        <v/>
      </c>
      <c r="AC37" s="31" t="str">
        <f t="shared" si="14"/>
        <v/>
      </c>
      <c r="AD37" s="31" t="str">
        <f t="shared" si="14"/>
        <v/>
      </c>
      <c r="AE37" s="31" t="str">
        <f t="shared" si="14"/>
        <v/>
      </c>
      <c r="AF37" s="31" t="str">
        <f t="shared" si="14"/>
        <v/>
      </c>
      <c r="AG37" s="31" t="str">
        <f t="shared" si="14"/>
        <v/>
      </c>
      <c r="AH37" s="31" t="str">
        <f t="shared" si="14"/>
        <v/>
      </c>
      <c r="AI37" s="31" t="str">
        <f t="shared" si="14"/>
        <v/>
      </c>
      <c r="AJ37" s="31" t="str">
        <f t="shared" si="14"/>
        <v/>
      </c>
      <c r="AK37" s="31" t="str">
        <f t="shared" si="14"/>
        <v/>
      </c>
      <c r="AL37" s="31" t="str">
        <f t="shared" si="14"/>
        <v/>
      </c>
      <c r="AM37" s="31" t="str">
        <f t="shared" si="14"/>
        <v/>
      </c>
      <c r="AN37" s="31" t="str">
        <f t="shared" si="14"/>
        <v/>
      </c>
      <c r="AO37" s="31" t="str">
        <f t="shared" si="14"/>
        <v/>
      </c>
      <c r="AP37" s="31" t="str">
        <f t="shared" si="14"/>
        <v>◆</v>
      </c>
    </row>
    <row r="38" spans="1:42" ht="18" customHeight="1" x14ac:dyDescent="0.2">
      <c r="A38" s="26" t="s">
        <v>89</v>
      </c>
      <c r="B38" s="27" t="s">
        <v>77</v>
      </c>
      <c r="C38" s="28" t="s">
        <v>90</v>
      </c>
      <c r="D38" s="29" t="s">
        <v>41</v>
      </c>
      <c r="E38" s="30"/>
      <c r="F38" s="30"/>
      <c r="G38" s="26" t="str">
        <f t="shared" si="2"/>
        <v/>
      </c>
      <c r="H38" s="31" t="str">
        <f t="shared" si="12"/>
        <v/>
      </c>
      <c r="I38" s="31" t="str">
        <f t="shared" si="12"/>
        <v/>
      </c>
      <c r="J38" s="31" t="str">
        <f t="shared" si="12"/>
        <v/>
      </c>
      <c r="K38" s="31" t="str">
        <f t="shared" si="12"/>
        <v/>
      </c>
      <c r="L38" s="31" t="str">
        <f t="shared" si="12"/>
        <v/>
      </c>
      <c r="M38" s="31" t="str">
        <f t="shared" si="12"/>
        <v/>
      </c>
      <c r="N38" s="31" t="str">
        <f t="shared" si="12"/>
        <v/>
      </c>
      <c r="O38" s="31" t="str">
        <f t="shared" si="12"/>
        <v/>
      </c>
      <c r="P38" s="31" t="str">
        <f t="shared" si="12"/>
        <v/>
      </c>
      <c r="Q38" s="31" t="str">
        <f t="shared" si="12"/>
        <v/>
      </c>
      <c r="R38" s="31" t="str">
        <f t="shared" si="13"/>
        <v/>
      </c>
      <c r="S38" s="31" t="str">
        <f t="shared" si="13"/>
        <v/>
      </c>
      <c r="T38" s="31" t="str">
        <f t="shared" si="13"/>
        <v/>
      </c>
      <c r="U38" s="31" t="str">
        <f t="shared" si="13"/>
        <v/>
      </c>
      <c r="V38" s="31" t="str">
        <f t="shared" si="13"/>
        <v/>
      </c>
      <c r="W38" s="31" t="str">
        <f t="shared" si="13"/>
        <v/>
      </c>
      <c r="X38" s="31" t="str">
        <f t="shared" si="13"/>
        <v/>
      </c>
      <c r="Y38" s="31" t="str">
        <f t="shared" si="13"/>
        <v/>
      </c>
      <c r="Z38" s="31" t="str">
        <f t="shared" si="13"/>
        <v/>
      </c>
      <c r="AA38" s="31" t="str">
        <f t="shared" si="13"/>
        <v/>
      </c>
      <c r="AB38" s="31" t="str">
        <f t="shared" si="14"/>
        <v/>
      </c>
      <c r="AC38" s="31" t="str">
        <f t="shared" si="14"/>
        <v/>
      </c>
      <c r="AD38" s="31" t="str">
        <f t="shared" si="14"/>
        <v/>
      </c>
      <c r="AE38" s="31" t="str">
        <f t="shared" si="14"/>
        <v/>
      </c>
      <c r="AF38" s="31" t="str">
        <f t="shared" si="14"/>
        <v/>
      </c>
      <c r="AG38" s="31" t="str">
        <f t="shared" si="14"/>
        <v/>
      </c>
      <c r="AH38" s="31" t="str">
        <f t="shared" si="14"/>
        <v/>
      </c>
      <c r="AI38" s="31" t="str">
        <f t="shared" si="14"/>
        <v/>
      </c>
      <c r="AJ38" s="31" t="str">
        <f t="shared" si="14"/>
        <v/>
      </c>
      <c r="AK38" s="31" t="str">
        <f t="shared" si="14"/>
        <v/>
      </c>
      <c r="AL38" s="31" t="str">
        <f t="shared" si="14"/>
        <v/>
      </c>
      <c r="AM38" s="31" t="str">
        <f t="shared" si="14"/>
        <v/>
      </c>
      <c r="AN38" s="31" t="str">
        <f t="shared" si="14"/>
        <v/>
      </c>
      <c r="AO38" s="31" t="str">
        <f t="shared" si="14"/>
        <v/>
      </c>
      <c r="AP38" s="31" t="str">
        <f t="shared" si="14"/>
        <v/>
      </c>
    </row>
    <row r="39" spans="1:42" ht="18" customHeight="1" x14ac:dyDescent="0.2">
      <c r="A39" s="22"/>
      <c r="B39" s="23"/>
      <c r="C39" s="23" t="s">
        <v>97</v>
      </c>
      <c r="D39" s="22" t="s">
        <v>19</v>
      </c>
      <c r="E39" s="24">
        <f>IF(COUNT(E40:E50)=0,"",MIN(E40:E50))</f>
        <v>46296</v>
      </c>
      <c r="F39" s="24">
        <f>IF(COUNT(F40:F50)=0,"",MAX(F40:F50))</f>
        <v>46506</v>
      </c>
      <c r="G39" s="22">
        <f t="shared" si="2"/>
        <v>211</v>
      </c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spans="1:42" ht="18" customHeight="1" x14ac:dyDescent="0.2">
      <c r="A40" s="26" t="s">
        <v>194</v>
      </c>
      <c r="B40" s="27" t="s">
        <v>196</v>
      </c>
      <c r="C40" s="28" t="s">
        <v>190</v>
      </c>
      <c r="D40" s="29" t="s">
        <v>5</v>
      </c>
      <c r="E40" s="30">
        <v>46296</v>
      </c>
      <c r="F40" s="30">
        <v>46326</v>
      </c>
      <c r="G40" s="26">
        <f t="shared" si="2"/>
        <v>31</v>
      </c>
      <c r="H40" s="31" t="str">
        <f t="shared" ref="H40:Q50" si="15">IF(AND($D40="Milestone",$F40&lt;&gt;"",$F40&gt;=H$7,$F40&lt;=H$7+6),"◆","")</f>
        <v/>
      </c>
      <c r="I40" s="31" t="str">
        <f t="shared" si="15"/>
        <v/>
      </c>
      <c r="J40" s="31" t="str">
        <f t="shared" si="15"/>
        <v/>
      </c>
      <c r="K40" s="31" t="str">
        <f t="shared" si="15"/>
        <v/>
      </c>
      <c r="L40" s="31" t="str">
        <f t="shared" si="15"/>
        <v/>
      </c>
      <c r="M40" s="31" t="str">
        <f t="shared" si="15"/>
        <v/>
      </c>
      <c r="N40" s="31" t="str">
        <f t="shared" si="15"/>
        <v/>
      </c>
      <c r="O40" s="31" t="str">
        <f t="shared" si="15"/>
        <v/>
      </c>
      <c r="P40" s="31" t="str">
        <f t="shared" si="15"/>
        <v/>
      </c>
      <c r="Q40" s="31" t="str">
        <f t="shared" si="15"/>
        <v/>
      </c>
      <c r="R40" s="31" t="str">
        <f t="shared" ref="R40:AA50" si="16">IF(AND($D40="Milestone",$F40&lt;&gt;"",$F40&gt;=R$7,$F40&lt;=R$7+6),"◆","")</f>
        <v/>
      </c>
      <c r="S40" s="31" t="str">
        <f t="shared" si="16"/>
        <v/>
      </c>
      <c r="T40" s="31" t="str">
        <f t="shared" si="16"/>
        <v/>
      </c>
      <c r="U40" s="31" t="str">
        <f t="shared" si="16"/>
        <v/>
      </c>
      <c r="V40" s="31" t="str">
        <f t="shared" si="16"/>
        <v/>
      </c>
      <c r="W40" s="31" t="str">
        <f t="shared" si="16"/>
        <v/>
      </c>
      <c r="X40" s="31" t="str">
        <f t="shared" si="16"/>
        <v/>
      </c>
      <c r="Y40" s="31" t="str">
        <f t="shared" si="16"/>
        <v/>
      </c>
      <c r="Z40" s="31" t="str">
        <f t="shared" si="16"/>
        <v/>
      </c>
      <c r="AA40" s="31" t="str">
        <f t="shared" si="16"/>
        <v/>
      </c>
      <c r="AB40" s="31" t="str">
        <f t="shared" ref="AB40:AP50" si="17">IF(AND($D40="Milestone",$F40&lt;&gt;"",$F40&gt;=AB$7,$F40&lt;=AB$7+6),"◆","")</f>
        <v/>
      </c>
      <c r="AC40" s="31" t="str">
        <f t="shared" si="17"/>
        <v/>
      </c>
      <c r="AD40" s="31" t="str">
        <f t="shared" si="17"/>
        <v/>
      </c>
      <c r="AE40" s="31" t="str">
        <f t="shared" si="17"/>
        <v/>
      </c>
      <c r="AF40" s="31" t="str">
        <f t="shared" si="17"/>
        <v/>
      </c>
      <c r="AG40" s="31" t="str">
        <f t="shared" si="17"/>
        <v/>
      </c>
      <c r="AH40" s="31" t="str">
        <f t="shared" si="17"/>
        <v/>
      </c>
      <c r="AI40" s="31" t="str">
        <f t="shared" si="17"/>
        <v/>
      </c>
      <c r="AJ40" s="31" t="str">
        <f t="shared" si="17"/>
        <v/>
      </c>
      <c r="AK40" s="31" t="str">
        <f t="shared" si="17"/>
        <v/>
      </c>
      <c r="AL40" s="31" t="str">
        <f t="shared" si="17"/>
        <v/>
      </c>
      <c r="AM40" s="31" t="str">
        <f t="shared" si="17"/>
        <v/>
      </c>
      <c r="AN40" s="31" t="str">
        <f t="shared" si="17"/>
        <v/>
      </c>
      <c r="AO40" s="31" t="str">
        <f t="shared" si="17"/>
        <v/>
      </c>
      <c r="AP40" s="31" t="str">
        <f t="shared" si="17"/>
        <v/>
      </c>
    </row>
    <row r="41" spans="1:42" ht="18" customHeight="1" x14ac:dyDescent="0.2">
      <c r="A41" s="26" t="s">
        <v>195</v>
      </c>
      <c r="B41" s="27" t="s">
        <v>196</v>
      </c>
      <c r="C41" s="28" t="s">
        <v>191</v>
      </c>
      <c r="D41" s="29" t="s">
        <v>6</v>
      </c>
      <c r="E41" s="30">
        <v>46326</v>
      </c>
      <c r="F41" s="30">
        <v>46340</v>
      </c>
      <c r="G41" s="26">
        <f t="shared" si="2"/>
        <v>15</v>
      </c>
      <c r="H41" s="31" t="str">
        <f t="shared" si="15"/>
        <v/>
      </c>
      <c r="I41" s="31" t="str">
        <f t="shared" si="15"/>
        <v/>
      </c>
      <c r="J41" s="31" t="str">
        <f t="shared" si="15"/>
        <v/>
      </c>
      <c r="K41" s="31" t="str">
        <f t="shared" si="15"/>
        <v/>
      </c>
      <c r="L41" s="31" t="str">
        <f t="shared" si="15"/>
        <v/>
      </c>
      <c r="M41" s="31" t="str">
        <f t="shared" si="15"/>
        <v/>
      </c>
      <c r="N41" s="31" t="str">
        <f t="shared" si="15"/>
        <v/>
      </c>
      <c r="O41" s="31" t="str">
        <f t="shared" si="15"/>
        <v/>
      </c>
      <c r="P41" s="31" t="str">
        <f t="shared" si="15"/>
        <v/>
      </c>
      <c r="Q41" s="31" t="str">
        <f t="shared" si="15"/>
        <v/>
      </c>
      <c r="R41" s="31" t="str">
        <f t="shared" si="16"/>
        <v/>
      </c>
      <c r="S41" s="31" t="str">
        <f t="shared" si="16"/>
        <v/>
      </c>
      <c r="T41" s="31" t="str">
        <f t="shared" si="16"/>
        <v/>
      </c>
      <c r="U41" s="31" t="str">
        <f t="shared" si="16"/>
        <v/>
      </c>
      <c r="V41" s="31" t="str">
        <f t="shared" si="16"/>
        <v/>
      </c>
      <c r="W41" s="31" t="str">
        <f t="shared" si="16"/>
        <v/>
      </c>
      <c r="X41" s="31" t="str">
        <f t="shared" si="16"/>
        <v/>
      </c>
      <c r="Y41" s="31" t="str">
        <f t="shared" si="16"/>
        <v/>
      </c>
      <c r="Z41" s="31" t="str">
        <f t="shared" si="16"/>
        <v/>
      </c>
      <c r="AA41" s="31" t="str">
        <f t="shared" si="16"/>
        <v/>
      </c>
      <c r="AB41" s="31" t="str">
        <f t="shared" si="17"/>
        <v/>
      </c>
      <c r="AC41" s="31" t="str">
        <f t="shared" si="17"/>
        <v/>
      </c>
      <c r="AD41" s="31" t="str">
        <f t="shared" si="17"/>
        <v/>
      </c>
      <c r="AE41" s="31" t="str">
        <f t="shared" si="17"/>
        <v/>
      </c>
      <c r="AF41" s="31" t="str">
        <f t="shared" si="17"/>
        <v/>
      </c>
      <c r="AG41" s="31" t="str">
        <f t="shared" si="17"/>
        <v/>
      </c>
      <c r="AH41" s="31" t="str">
        <f t="shared" si="17"/>
        <v/>
      </c>
      <c r="AI41" s="31" t="str">
        <f t="shared" si="17"/>
        <v/>
      </c>
      <c r="AJ41" s="31" t="str">
        <f t="shared" si="17"/>
        <v/>
      </c>
      <c r="AK41" s="31" t="str">
        <f t="shared" si="17"/>
        <v/>
      </c>
      <c r="AL41" s="31" t="str">
        <f t="shared" si="17"/>
        <v/>
      </c>
      <c r="AM41" s="31" t="str">
        <f t="shared" si="17"/>
        <v/>
      </c>
      <c r="AN41" s="31" t="str">
        <f t="shared" si="17"/>
        <v/>
      </c>
      <c r="AO41" s="31" t="str">
        <f t="shared" si="17"/>
        <v/>
      </c>
      <c r="AP41" s="31" t="str">
        <f t="shared" si="17"/>
        <v/>
      </c>
    </row>
    <row r="42" spans="1:42" ht="18" customHeight="1" x14ac:dyDescent="0.2">
      <c r="A42" s="26" t="s">
        <v>193</v>
      </c>
      <c r="B42" s="27" t="s">
        <v>197</v>
      </c>
      <c r="C42" s="28" t="s">
        <v>198</v>
      </c>
      <c r="D42" s="29" t="s">
        <v>41</v>
      </c>
      <c r="E42" s="30">
        <v>46419</v>
      </c>
      <c r="F42" s="30">
        <v>46419</v>
      </c>
      <c r="G42" s="26">
        <f t="shared" si="2"/>
        <v>1</v>
      </c>
      <c r="H42" s="31" t="str">
        <f t="shared" si="15"/>
        <v/>
      </c>
      <c r="I42" s="31" t="str">
        <f t="shared" si="15"/>
        <v/>
      </c>
      <c r="J42" s="31" t="str">
        <f t="shared" si="15"/>
        <v/>
      </c>
      <c r="K42" s="31" t="str">
        <f t="shared" si="15"/>
        <v/>
      </c>
      <c r="L42" s="31" t="str">
        <f t="shared" si="15"/>
        <v/>
      </c>
      <c r="M42" s="31" t="str">
        <f t="shared" si="15"/>
        <v/>
      </c>
      <c r="N42" s="31" t="str">
        <f t="shared" si="15"/>
        <v/>
      </c>
      <c r="O42" s="31" t="str">
        <f t="shared" si="15"/>
        <v/>
      </c>
      <c r="P42" s="31" t="str">
        <f t="shared" si="15"/>
        <v/>
      </c>
      <c r="Q42" s="31" t="str">
        <f t="shared" si="15"/>
        <v/>
      </c>
      <c r="R42" s="31" t="str">
        <f t="shared" si="16"/>
        <v/>
      </c>
      <c r="S42" s="31" t="str">
        <f t="shared" si="16"/>
        <v/>
      </c>
      <c r="T42" s="31" t="str">
        <f t="shared" si="16"/>
        <v/>
      </c>
      <c r="U42" s="31" t="str">
        <f t="shared" si="16"/>
        <v/>
      </c>
      <c r="V42" s="31" t="str">
        <f t="shared" si="16"/>
        <v/>
      </c>
      <c r="W42" s="31" t="str">
        <f t="shared" si="16"/>
        <v/>
      </c>
      <c r="X42" s="31" t="str">
        <f t="shared" si="16"/>
        <v/>
      </c>
      <c r="Y42" s="31" t="str">
        <f t="shared" si="16"/>
        <v/>
      </c>
      <c r="Z42" s="31" t="str">
        <f t="shared" si="16"/>
        <v/>
      </c>
      <c r="AA42" s="31" t="str">
        <f t="shared" si="16"/>
        <v/>
      </c>
      <c r="AB42" s="31" t="str">
        <f t="shared" si="17"/>
        <v/>
      </c>
      <c r="AC42" s="31" t="str">
        <f t="shared" si="17"/>
        <v/>
      </c>
      <c r="AD42" s="31" t="str">
        <f t="shared" si="17"/>
        <v>◆</v>
      </c>
      <c r="AE42" s="31" t="str">
        <f t="shared" si="17"/>
        <v/>
      </c>
      <c r="AF42" s="31" t="str">
        <f t="shared" si="17"/>
        <v/>
      </c>
      <c r="AG42" s="31" t="str">
        <f t="shared" si="17"/>
        <v/>
      </c>
      <c r="AH42" s="31" t="str">
        <f t="shared" si="17"/>
        <v/>
      </c>
      <c r="AI42" s="31" t="str">
        <f t="shared" si="17"/>
        <v/>
      </c>
      <c r="AJ42" s="31" t="str">
        <f t="shared" si="17"/>
        <v/>
      </c>
      <c r="AK42" s="31" t="str">
        <f t="shared" si="17"/>
        <v/>
      </c>
      <c r="AL42" s="31" t="str">
        <f t="shared" si="17"/>
        <v/>
      </c>
      <c r="AM42" s="31" t="str">
        <f t="shared" si="17"/>
        <v/>
      </c>
      <c r="AN42" s="31" t="str">
        <f t="shared" si="17"/>
        <v/>
      </c>
      <c r="AO42" s="31" t="str">
        <f t="shared" si="17"/>
        <v/>
      </c>
      <c r="AP42" s="31" t="str">
        <f t="shared" si="17"/>
        <v/>
      </c>
    </row>
    <row r="43" spans="1:42" ht="18" customHeight="1" x14ac:dyDescent="0.2">
      <c r="A43" s="26" t="s">
        <v>199</v>
      </c>
      <c r="B43" s="27" t="s">
        <v>197</v>
      </c>
      <c r="C43" s="28" t="s">
        <v>192</v>
      </c>
      <c r="D43" s="29" t="s">
        <v>41</v>
      </c>
      <c r="E43" s="30">
        <v>46447</v>
      </c>
      <c r="F43" s="30">
        <v>46447</v>
      </c>
      <c r="G43" s="26">
        <f>IF(OR(E43="",F43=""),"",F43-E43+1)</f>
        <v>1</v>
      </c>
      <c r="H43" s="31" t="str">
        <f>IF(AND($D43="Milestone",$F43&lt;&gt;"",$F43&gt;=H$7,$F43&lt;=H$7+6),"◆","")</f>
        <v/>
      </c>
      <c r="I43" s="31" t="str">
        <f>IF(AND($D43="Milestone",$F43&lt;&gt;"",$F43&gt;=I$7,$F43&lt;=I$7+6),"◆","")</f>
        <v/>
      </c>
      <c r="J43" s="31" t="str">
        <f>IF(AND($D43="Milestone",$F43&lt;&gt;"",$F43&gt;=J$7,$F43&lt;=J$7+6),"◆","")</f>
        <v/>
      </c>
      <c r="K43" s="31" t="str">
        <f>IF(AND($D43="Milestone",$F43&lt;&gt;"",$F43&gt;=K$7,$F43&lt;=K$7+6),"◆","")</f>
        <v/>
      </c>
      <c r="L43" s="31" t="str">
        <f>IF(AND($D43="Milestone",$F43&lt;&gt;"",$F43&gt;=L$7,$F43&lt;=L$7+6),"◆","")</f>
        <v/>
      </c>
      <c r="M43" s="31" t="str">
        <f>IF(AND($D43="Milestone",$F43&lt;&gt;"",$F43&gt;=M$7,$F43&lt;=M$7+6),"◆","")</f>
        <v/>
      </c>
      <c r="N43" s="31" t="str">
        <f>IF(AND($D43="Milestone",$F43&lt;&gt;"",$F43&gt;=N$7,$F43&lt;=N$7+6),"◆","")</f>
        <v/>
      </c>
      <c r="O43" s="31" t="str">
        <f>IF(AND($D43="Milestone",$F43&lt;&gt;"",$F43&gt;=O$7,$F43&lt;=O$7+6),"◆","")</f>
        <v/>
      </c>
      <c r="P43" s="31" t="str">
        <f>IF(AND($D43="Milestone",$F43&lt;&gt;"",$F43&gt;=P$7,$F43&lt;=P$7+6),"◆","")</f>
        <v/>
      </c>
      <c r="Q43" s="31" t="str">
        <f>IF(AND($D43="Milestone",$F43&lt;&gt;"",$F43&gt;=Q$7,$F43&lt;=Q$7+6),"◆","")</f>
        <v/>
      </c>
      <c r="R43" s="31" t="str">
        <f>IF(AND($D43="Milestone",$F43&lt;&gt;"",$F43&gt;=R$7,$F43&lt;=R$7+6),"◆","")</f>
        <v/>
      </c>
      <c r="S43" s="31" t="str">
        <f>IF(AND($D43="Milestone",$F43&lt;&gt;"",$F43&gt;=S$7,$F43&lt;=S$7+6),"◆","")</f>
        <v/>
      </c>
      <c r="T43" s="31" t="str">
        <f>IF(AND($D43="Milestone",$F43&lt;&gt;"",$F43&gt;=T$7,$F43&lt;=T$7+6),"◆","")</f>
        <v/>
      </c>
      <c r="U43" s="31" t="str">
        <f>IF(AND($D43="Milestone",$F43&lt;&gt;"",$F43&gt;=U$7,$F43&lt;=U$7+6),"◆","")</f>
        <v/>
      </c>
      <c r="V43" s="31" t="str">
        <f>IF(AND($D43="Milestone",$F43&lt;&gt;"",$F43&gt;=V$7,$F43&lt;=V$7+6),"◆","")</f>
        <v/>
      </c>
      <c r="W43" s="31" t="str">
        <f>IF(AND($D43="Milestone",$F43&lt;&gt;"",$F43&gt;=W$7,$F43&lt;=W$7+6),"◆","")</f>
        <v/>
      </c>
      <c r="X43" s="31" t="str">
        <f>IF(AND($D43="Milestone",$F43&lt;&gt;"",$F43&gt;=X$7,$F43&lt;=X$7+6),"◆","")</f>
        <v/>
      </c>
      <c r="Y43" s="31" t="str">
        <f>IF(AND($D43="Milestone",$F43&lt;&gt;"",$F43&gt;=Y$7,$F43&lt;=Y$7+6),"◆","")</f>
        <v/>
      </c>
      <c r="Z43" s="31" t="str">
        <f>IF(AND($D43="Milestone",$F43&lt;&gt;"",$F43&gt;=Z$7,$F43&lt;=Z$7+6),"◆","")</f>
        <v/>
      </c>
      <c r="AA43" s="31" t="str">
        <f>IF(AND($D43="Milestone",$F43&lt;&gt;"",$F43&gt;=AA$7,$F43&lt;=AA$7+6),"◆","")</f>
        <v/>
      </c>
      <c r="AB43" s="31" t="str">
        <f>IF(AND($D43="Milestone",$F43&lt;&gt;"",$F43&gt;=AB$7,$F43&lt;=AB$7+6),"◆","")</f>
        <v/>
      </c>
      <c r="AC43" s="31" t="str">
        <f>IF(AND($D43="Milestone",$F43&lt;&gt;"",$F43&gt;=AC$7,$F43&lt;=AC$7+6),"◆","")</f>
        <v/>
      </c>
      <c r="AD43" s="31" t="str">
        <f>IF(AND($D43="Milestone",$F43&lt;&gt;"",$F43&gt;=AD$7,$F43&lt;=AD$7+6),"◆","")</f>
        <v/>
      </c>
      <c r="AE43" s="31" t="str">
        <f>IF(AND($D43="Milestone",$F43&lt;&gt;"",$F43&gt;=AE$7,$F43&lt;=AE$7+6),"◆","")</f>
        <v/>
      </c>
      <c r="AF43" s="31" t="str">
        <f>IF(AND($D43="Milestone",$F43&lt;&gt;"",$F43&gt;=AF$7,$F43&lt;=AF$7+6),"◆","")</f>
        <v/>
      </c>
      <c r="AG43" s="31" t="str">
        <f>IF(AND($D43="Milestone",$F43&lt;&gt;"",$F43&gt;=AG$7,$F43&lt;=AG$7+6),"◆","")</f>
        <v/>
      </c>
      <c r="AH43" s="31" t="str">
        <f>IF(AND($D43="Milestone",$F43&lt;&gt;"",$F43&gt;=AH$7,$F43&lt;=AH$7+6),"◆","")</f>
        <v>◆</v>
      </c>
      <c r="AI43" s="31" t="str">
        <f>IF(AND($D43="Milestone",$F43&lt;&gt;"",$F43&gt;=AI$7,$F43&lt;=AI$7+6),"◆","")</f>
        <v/>
      </c>
      <c r="AJ43" s="31" t="str">
        <f>IF(AND($D43="Milestone",$F43&lt;&gt;"",$F43&gt;=AJ$7,$F43&lt;=AJ$7+6),"◆","")</f>
        <v/>
      </c>
      <c r="AK43" s="31" t="str">
        <f>IF(AND($D43="Milestone",$F43&lt;&gt;"",$F43&gt;=AK$7,$F43&lt;=AK$7+6),"◆","")</f>
        <v/>
      </c>
      <c r="AL43" s="31" t="str">
        <f>IF(AND($D43="Milestone",$F43&lt;&gt;"",$F43&gt;=AL$7,$F43&lt;=AL$7+6),"◆","")</f>
        <v/>
      </c>
      <c r="AM43" s="31" t="str">
        <f>IF(AND($D43="Milestone",$F43&lt;&gt;"",$F43&gt;=AM$7,$F43&lt;=AM$7+6),"◆","")</f>
        <v/>
      </c>
      <c r="AN43" s="31" t="str">
        <f>IF(AND($D43="Milestone",$F43&lt;&gt;"",$F43&gt;=AN$7,$F43&lt;=AN$7+6),"◆","")</f>
        <v/>
      </c>
      <c r="AO43" s="31" t="str">
        <f>IF(AND($D43="Milestone",$F43&lt;&gt;"",$F43&gt;=AO$7,$F43&lt;=AO$7+6),"◆","")</f>
        <v/>
      </c>
      <c r="AP43" s="31" t="str">
        <f>IF(AND($D43="Milestone",$F43&lt;&gt;"",$F43&gt;=AP$7,$F43&lt;=AP$7+6),"◆","")</f>
        <v/>
      </c>
    </row>
    <row r="44" spans="1:42" ht="18" customHeight="1" x14ac:dyDescent="0.2">
      <c r="A44" s="26" t="s">
        <v>91</v>
      </c>
      <c r="B44" s="27" t="s">
        <v>92</v>
      </c>
      <c r="C44" s="28" t="s">
        <v>93</v>
      </c>
      <c r="D44" s="29" t="s">
        <v>41</v>
      </c>
      <c r="E44" s="30">
        <v>46475</v>
      </c>
      <c r="F44" s="30">
        <v>46506</v>
      </c>
      <c r="G44" s="26">
        <f>IF(OR(E44="",F44=""),"",F44-E44+1)</f>
        <v>32</v>
      </c>
      <c r="H44" s="31" t="str">
        <f>IF(AND($D44="Milestone",$F44&lt;&gt;"",$F44&gt;=H$7,$F44&lt;=H$7+6),"◆","")</f>
        <v/>
      </c>
      <c r="I44" s="31" t="str">
        <f>IF(AND($D44="Milestone",$F44&lt;&gt;"",$F44&gt;=I$7,$F44&lt;=I$7+6),"◆","")</f>
        <v/>
      </c>
      <c r="J44" s="31" t="str">
        <f>IF(AND($D44="Milestone",$F44&lt;&gt;"",$F44&gt;=J$7,$F44&lt;=J$7+6),"◆","")</f>
        <v/>
      </c>
      <c r="K44" s="31" t="str">
        <f>IF(AND($D44="Milestone",$F44&lt;&gt;"",$F44&gt;=K$7,$F44&lt;=K$7+6),"◆","")</f>
        <v/>
      </c>
      <c r="L44" s="31" t="str">
        <f>IF(AND($D44="Milestone",$F44&lt;&gt;"",$F44&gt;=L$7,$F44&lt;=L$7+6),"◆","")</f>
        <v/>
      </c>
      <c r="M44" s="31" t="str">
        <f>IF(AND($D44="Milestone",$F44&lt;&gt;"",$F44&gt;=M$7,$F44&lt;=M$7+6),"◆","")</f>
        <v/>
      </c>
      <c r="N44" s="31" t="str">
        <f>IF(AND($D44="Milestone",$F44&lt;&gt;"",$F44&gt;=N$7,$F44&lt;=N$7+6),"◆","")</f>
        <v/>
      </c>
      <c r="O44" s="31" t="str">
        <f>IF(AND($D44="Milestone",$F44&lt;&gt;"",$F44&gt;=O$7,$F44&lt;=O$7+6),"◆","")</f>
        <v/>
      </c>
      <c r="P44" s="31" t="str">
        <f>IF(AND($D44="Milestone",$F44&lt;&gt;"",$F44&gt;=P$7,$F44&lt;=P$7+6),"◆","")</f>
        <v/>
      </c>
      <c r="Q44" s="31" t="str">
        <f>IF(AND($D44="Milestone",$F44&lt;&gt;"",$F44&gt;=Q$7,$F44&lt;=Q$7+6),"◆","")</f>
        <v/>
      </c>
      <c r="R44" s="31" t="str">
        <f>IF(AND($D44="Milestone",$F44&lt;&gt;"",$F44&gt;=R$7,$F44&lt;=R$7+6),"◆","")</f>
        <v/>
      </c>
      <c r="S44" s="31" t="str">
        <f>IF(AND($D44="Milestone",$F44&lt;&gt;"",$F44&gt;=S$7,$F44&lt;=S$7+6),"◆","")</f>
        <v/>
      </c>
      <c r="T44" s="31" t="str">
        <f>IF(AND($D44="Milestone",$F44&lt;&gt;"",$F44&gt;=T$7,$F44&lt;=T$7+6),"◆","")</f>
        <v/>
      </c>
      <c r="U44" s="31" t="str">
        <f>IF(AND($D44="Milestone",$F44&lt;&gt;"",$F44&gt;=U$7,$F44&lt;=U$7+6),"◆","")</f>
        <v/>
      </c>
      <c r="V44" s="31" t="str">
        <f>IF(AND($D44="Milestone",$F44&lt;&gt;"",$F44&gt;=V$7,$F44&lt;=V$7+6),"◆","")</f>
        <v/>
      </c>
      <c r="W44" s="31" t="str">
        <f>IF(AND($D44="Milestone",$F44&lt;&gt;"",$F44&gt;=W$7,$F44&lt;=W$7+6),"◆","")</f>
        <v/>
      </c>
      <c r="X44" s="31" t="str">
        <f>IF(AND($D44="Milestone",$F44&lt;&gt;"",$F44&gt;=X$7,$F44&lt;=X$7+6),"◆","")</f>
        <v/>
      </c>
      <c r="Y44" s="31" t="str">
        <f>IF(AND($D44="Milestone",$F44&lt;&gt;"",$F44&gt;=Y$7,$F44&lt;=Y$7+6),"◆","")</f>
        <v/>
      </c>
      <c r="Z44" s="31" t="str">
        <f>IF(AND($D44="Milestone",$F44&lt;&gt;"",$F44&gt;=Z$7,$F44&lt;=Z$7+6),"◆","")</f>
        <v/>
      </c>
      <c r="AA44" s="31" t="str">
        <f>IF(AND($D44="Milestone",$F44&lt;&gt;"",$F44&gt;=AA$7,$F44&lt;=AA$7+6),"◆","")</f>
        <v/>
      </c>
      <c r="AB44" s="31" t="str">
        <f>IF(AND($D44="Milestone",$F44&lt;&gt;"",$F44&gt;=AB$7,$F44&lt;=AB$7+6),"◆","")</f>
        <v/>
      </c>
      <c r="AC44" s="31" t="str">
        <f>IF(AND($D44="Milestone",$F44&lt;&gt;"",$F44&gt;=AC$7,$F44&lt;=AC$7+6),"◆","")</f>
        <v/>
      </c>
      <c r="AD44" s="31" t="str">
        <f>IF(AND($D44="Milestone",$F44&lt;&gt;"",$F44&gt;=AD$7,$F44&lt;=AD$7+6),"◆","")</f>
        <v/>
      </c>
      <c r="AE44" s="31" t="str">
        <f>IF(AND($D44="Milestone",$F44&lt;&gt;"",$F44&gt;=AE$7,$F44&lt;=AE$7+6),"◆","")</f>
        <v/>
      </c>
      <c r="AF44" s="31" t="str">
        <f>IF(AND($D44="Milestone",$F44&lt;&gt;"",$F44&gt;=AF$7,$F44&lt;=AF$7+6),"◆","")</f>
        <v/>
      </c>
      <c r="AG44" s="31" t="str">
        <f>IF(AND($D44="Milestone",$F44&lt;&gt;"",$F44&gt;=AG$7,$F44&lt;=AG$7+6),"◆","")</f>
        <v/>
      </c>
      <c r="AH44" s="31" t="str">
        <f>IF(AND($D44="Milestone",$F44&lt;&gt;"",$F44&gt;=AH$7,$F44&lt;=AH$7+6),"◆","")</f>
        <v/>
      </c>
      <c r="AI44" s="31" t="str">
        <f>IF(AND($D44="Milestone",$F44&lt;&gt;"",$F44&gt;=AI$7,$F44&lt;=AI$7+6),"◆","")</f>
        <v/>
      </c>
      <c r="AJ44" s="31" t="str">
        <f>IF(AND($D44="Milestone",$F44&lt;&gt;"",$F44&gt;=AJ$7,$F44&lt;=AJ$7+6),"◆","")</f>
        <v/>
      </c>
      <c r="AK44" s="31" t="str">
        <f>IF(AND($D44="Milestone",$F44&lt;&gt;"",$F44&gt;=AK$7,$F44&lt;=AK$7+6),"◆","")</f>
        <v/>
      </c>
      <c r="AL44" s="31" t="str">
        <f>IF(AND($D44="Milestone",$F44&lt;&gt;"",$F44&gt;=AL$7,$F44&lt;=AL$7+6),"◆","")</f>
        <v/>
      </c>
      <c r="AM44" s="31" t="str">
        <f>IF(AND($D44="Milestone",$F44&lt;&gt;"",$F44&gt;=AM$7,$F44&lt;=AM$7+6),"◆","")</f>
        <v/>
      </c>
      <c r="AN44" s="31" t="str">
        <f>IF(AND($D44="Milestone",$F44&lt;&gt;"",$F44&gt;=AN$7,$F44&lt;=AN$7+6),"◆","")</f>
        <v/>
      </c>
      <c r="AO44" s="31" t="str">
        <f>IF(AND($D44="Milestone",$F44&lt;&gt;"",$F44&gt;=AO$7,$F44&lt;=AO$7+6),"◆","")</f>
        <v/>
      </c>
      <c r="AP44" s="31" t="str">
        <f>IF(AND($D44="Milestone",$F44&lt;&gt;"",$F44&gt;=AP$7,$F44&lt;=AP$7+6),"◆","")</f>
        <v>◆</v>
      </c>
    </row>
    <row r="45" spans="1:42" ht="18" customHeight="1" x14ac:dyDescent="0.2">
      <c r="A45" s="26" t="s">
        <v>94</v>
      </c>
      <c r="B45" s="27" t="s">
        <v>95</v>
      </c>
      <c r="C45" s="28" t="s">
        <v>96</v>
      </c>
      <c r="D45" s="29" t="s">
        <v>41</v>
      </c>
      <c r="E45" s="30">
        <v>46506</v>
      </c>
      <c r="F45" s="30">
        <v>46506</v>
      </c>
      <c r="G45" s="26">
        <f>IF(OR(E45="",F45=""),"",F45-E45+1)</f>
        <v>1</v>
      </c>
      <c r="H45" s="31" t="str">
        <f>IF(AND($D45="Milestone",$F45&lt;&gt;"",$F45&gt;=H$7,$F45&lt;=H$7+6),"◆","")</f>
        <v/>
      </c>
      <c r="I45" s="31" t="str">
        <f>IF(AND($D45="Milestone",$F45&lt;&gt;"",$F45&gt;=I$7,$F45&lt;=I$7+6),"◆","")</f>
        <v/>
      </c>
      <c r="J45" s="31" t="str">
        <f>IF(AND($D45="Milestone",$F45&lt;&gt;"",$F45&gt;=J$7,$F45&lt;=J$7+6),"◆","")</f>
        <v/>
      </c>
      <c r="K45" s="31" t="str">
        <f>IF(AND($D45="Milestone",$F45&lt;&gt;"",$F45&gt;=K$7,$F45&lt;=K$7+6),"◆","")</f>
        <v/>
      </c>
      <c r="L45" s="31" t="str">
        <f>IF(AND($D45="Milestone",$F45&lt;&gt;"",$F45&gt;=L$7,$F45&lt;=L$7+6),"◆","")</f>
        <v/>
      </c>
      <c r="M45" s="31" t="str">
        <f>IF(AND($D45="Milestone",$F45&lt;&gt;"",$F45&gt;=M$7,$F45&lt;=M$7+6),"◆","")</f>
        <v/>
      </c>
      <c r="N45" s="31" t="str">
        <f>IF(AND($D45="Milestone",$F45&lt;&gt;"",$F45&gt;=N$7,$F45&lt;=N$7+6),"◆","")</f>
        <v/>
      </c>
      <c r="O45" s="31" t="str">
        <f>IF(AND($D45="Milestone",$F45&lt;&gt;"",$F45&gt;=O$7,$F45&lt;=O$7+6),"◆","")</f>
        <v/>
      </c>
      <c r="P45" s="31" t="str">
        <f>IF(AND($D45="Milestone",$F45&lt;&gt;"",$F45&gt;=P$7,$F45&lt;=P$7+6),"◆","")</f>
        <v/>
      </c>
      <c r="Q45" s="31" t="str">
        <f>IF(AND($D45="Milestone",$F45&lt;&gt;"",$F45&gt;=Q$7,$F45&lt;=Q$7+6),"◆","")</f>
        <v/>
      </c>
      <c r="R45" s="31" t="str">
        <f>IF(AND($D45="Milestone",$F45&lt;&gt;"",$F45&gt;=R$7,$F45&lt;=R$7+6),"◆","")</f>
        <v/>
      </c>
      <c r="S45" s="31" t="str">
        <f>IF(AND($D45="Milestone",$F45&lt;&gt;"",$F45&gt;=S$7,$F45&lt;=S$7+6),"◆","")</f>
        <v/>
      </c>
      <c r="T45" s="31" t="str">
        <f>IF(AND($D45="Milestone",$F45&lt;&gt;"",$F45&gt;=T$7,$F45&lt;=T$7+6),"◆","")</f>
        <v/>
      </c>
      <c r="U45" s="31" t="str">
        <f>IF(AND($D45="Milestone",$F45&lt;&gt;"",$F45&gt;=U$7,$F45&lt;=U$7+6),"◆","")</f>
        <v/>
      </c>
      <c r="V45" s="31" t="str">
        <f>IF(AND($D45="Milestone",$F45&lt;&gt;"",$F45&gt;=V$7,$F45&lt;=V$7+6),"◆","")</f>
        <v/>
      </c>
      <c r="W45" s="31" t="str">
        <f>IF(AND($D45="Milestone",$F45&lt;&gt;"",$F45&gt;=W$7,$F45&lt;=W$7+6),"◆","")</f>
        <v/>
      </c>
      <c r="X45" s="31" t="str">
        <f>IF(AND($D45="Milestone",$F45&lt;&gt;"",$F45&gt;=X$7,$F45&lt;=X$7+6),"◆","")</f>
        <v/>
      </c>
      <c r="Y45" s="31" t="str">
        <f>IF(AND($D45="Milestone",$F45&lt;&gt;"",$F45&gt;=Y$7,$F45&lt;=Y$7+6),"◆","")</f>
        <v/>
      </c>
      <c r="Z45" s="31" t="str">
        <f>IF(AND($D45="Milestone",$F45&lt;&gt;"",$F45&gt;=Z$7,$F45&lt;=Z$7+6),"◆","")</f>
        <v/>
      </c>
      <c r="AA45" s="31" t="str">
        <f>IF(AND($D45="Milestone",$F45&lt;&gt;"",$F45&gt;=AA$7,$F45&lt;=AA$7+6),"◆","")</f>
        <v/>
      </c>
      <c r="AB45" s="31" t="str">
        <f>IF(AND($D45="Milestone",$F45&lt;&gt;"",$F45&gt;=AB$7,$F45&lt;=AB$7+6),"◆","")</f>
        <v/>
      </c>
      <c r="AC45" s="31" t="str">
        <f>IF(AND($D45="Milestone",$F45&lt;&gt;"",$F45&gt;=AC$7,$F45&lt;=AC$7+6),"◆","")</f>
        <v/>
      </c>
      <c r="AD45" s="31" t="str">
        <f>IF(AND($D45="Milestone",$F45&lt;&gt;"",$F45&gt;=AD$7,$F45&lt;=AD$7+6),"◆","")</f>
        <v/>
      </c>
      <c r="AE45" s="31" t="str">
        <f>IF(AND($D45="Milestone",$F45&lt;&gt;"",$F45&gt;=AE$7,$F45&lt;=AE$7+6),"◆","")</f>
        <v/>
      </c>
      <c r="AF45" s="31" t="str">
        <f>IF(AND($D45="Milestone",$F45&lt;&gt;"",$F45&gt;=AF$7,$F45&lt;=AF$7+6),"◆","")</f>
        <v/>
      </c>
      <c r="AG45" s="31" t="str">
        <f>IF(AND($D45="Milestone",$F45&lt;&gt;"",$F45&gt;=AG$7,$F45&lt;=AG$7+6),"◆","")</f>
        <v/>
      </c>
      <c r="AH45" s="31" t="str">
        <f>IF(AND($D45="Milestone",$F45&lt;&gt;"",$F45&gt;=AH$7,$F45&lt;=AH$7+6),"◆","")</f>
        <v/>
      </c>
      <c r="AI45" s="31" t="str">
        <f>IF(AND($D45="Milestone",$F45&lt;&gt;"",$F45&gt;=AI$7,$F45&lt;=AI$7+6),"◆","")</f>
        <v/>
      </c>
      <c r="AJ45" s="31" t="str">
        <f>IF(AND($D45="Milestone",$F45&lt;&gt;"",$F45&gt;=AJ$7,$F45&lt;=AJ$7+6),"◆","")</f>
        <v/>
      </c>
      <c r="AK45" s="31" t="str">
        <f>IF(AND($D45="Milestone",$F45&lt;&gt;"",$F45&gt;=AK$7,$F45&lt;=AK$7+6),"◆","")</f>
        <v/>
      </c>
      <c r="AL45" s="31" t="str">
        <f>IF(AND($D45="Milestone",$F45&lt;&gt;"",$F45&gt;=AL$7,$F45&lt;=AL$7+6),"◆","")</f>
        <v/>
      </c>
      <c r="AM45" s="31" t="str">
        <f>IF(AND($D45="Milestone",$F45&lt;&gt;"",$F45&gt;=AM$7,$F45&lt;=AM$7+6),"◆","")</f>
        <v/>
      </c>
      <c r="AN45" s="31" t="str">
        <f>IF(AND($D45="Milestone",$F45&lt;&gt;"",$F45&gt;=AN$7,$F45&lt;=AN$7+6),"◆","")</f>
        <v/>
      </c>
      <c r="AO45" s="31" t="str">
        <f>IF(AND($D45="Milestone",$F45&lt;&gt;"",$F45&gt;=AO$7,$F45&lt;=AO$7+6),"◆","")</f>
        <v/>
      </c>
      <c r="AP45" s="31" t="str">
        <f>IF(AND($D45="Milestone",$F45&lt;&gt;"",$F45&gt;=AP$7,$F45&lt;=AP$7+6),"◆","")</f>
        <v>◆</v>
      </c>
    </row>
    <row r="46" spans="1:42" ht="18" customHeight="1" x14ac:dyDescent="0.2">
      <c r="A46" s="26"/>
      <c r="B46" s="27"/>
      <c r="C46" s="28"/>
      <c r="D46" s="29"/>
      <c r="E46" s="30"/>
      <c r="F46" s="30"/>
      <c r="G46" s="26" t="str">
        <f>IF(OR(E46="",F46=""),"",F46-E46+1)</f>
        <v/>
      </c>
      <c r="H46" s="31" t="str">
        <f>IF(AND($D46="Milestone",$F46&lt;&gt;"",$F46&gt;=H$7,$F46&lt;=H$7+6),"◆","")</f>
        <v/>
      </c>
      <c r="I46" s="31" t="str">
        <f>IF(AND($D46="Milestone",$F46&lt;&gt;"",$F46&gt;=I$7,$F46&lt;=I$7+6),"◆","")</f>
        <v/>
      </c>
      <c r="J46" s="31" t="str">
        <f>IF(AND($D46="Milestone",$F46&lt;&gt;"",$F46&gt;=J$7,$F46&lt;=J$7+6),"◆","")</f>
        <v/>
      </c>
      <c r="K46" s="31" t="str">
        <f>IF(AND($D46="Milestone",$F46&lt;&gt;"",$F46&gt;=K$7,$F46&lt;=K$7+6),"◆","")</f>
        <v/>
      </c>
      <c r="L46" s="31" t="str">
        <f>IF(AND($D46="Milestone",$F46&lt;&gt;"",$F46&gt;=L$7,$F46&lt;=L$7+6),"◆","")</f>
        <v/>
      </c>
      <c r="M46" s="31" t="str">
        <f>IF(AND($D46="Milestone",$F46&lt;&gt;"",$F46&gt;=M$7,$F46&lt;=M$7+6),"◆","")</f>
        <v/>
      </c>
      <c r="N46" s="31" t="str">
        <f>IF(AND($D46="Milestone",$F46&lt;&gt;"",$F46&gt;=N$7,$F46&lt;=N$7+6),"◆","")</f>
        <v/>
      </c>
      <c r="O46" s="31" t="str">
        <f>IF(AND($D46="Milestone",$F46&lt;&gt;"",$F46&gt;=O$7,$F46&lt;=O$7+6),"◆","")</f>
        <v/>
      </c>
      <c r="P46" s="31" t="str">
        <f>IF(AND($D46="Milestone",$F46&lt;&gt;"",$F46&gt;=P$7,$F46&lt;=P$7+6),"◆","")</f>
        <v/>
      </c>
      <c r="Q46" s="31" t="str">
        <f>IF(AND($D46="Milestone",$F46&lt;&gt;"",$F46&gt;=Q$7,$F46&lt;=Q$7+6),"◆","")</f>
        <v/>
      </c>
      <c r="R46" s="31" t="str">
        <f>IF(AND($D46="Milestone",$F46&lt;&gt;"",$F46&gt;=R$7,$F46&lt;=R$7+6),"◆","")</f>
        <v/>
      </c>
      <c r="S46" s="31" t="str">
        <f>IF(AND($D46="Milestone",$F46&lt;&gt;"",$F46&gt;=S$7,$F46&lt;=S$7+6),"◆","")</f>
        <v/>
      </c>
      <c r="T46" s="31" t="str">
        <f>IF(AND($D46="Milestone",$F46&lt;&gt;"",$F46&gt;=T$7,$F46&lt;=T$7+6),"◆","")</f>
        <v/>
      </c>
      <c r="U46" s="31" t="str">
        <f>IF(AND($D46="Milestone",$F46&lt;&gt;"",$F46&gt;=U$7,$F46&lt;=U$7+6),"◆","")</f>
        <v/>
      </c>
      <c r="V46" s="31" t="str">
        <f>IF(AND($D46="Milestone",$F46&lt;&gt;"",$F46&gt;=V$7,$F46&lt;=V$7+6),"◆","")</f>
        <v/>
      </c>
      <c r="W46" s="31" t="str">
        <f>IF(AND($D46="Milestone",$F46&lt;&gt;"",$F46&gt;=W$7,$F46&lt;=W$7+6),"◆","")</f>
        <v/>
      </c>
      <c r="X46" s="31" t="str">
        <f>IF(AND($D46="Milestone",$F46&lt;&gt;"",$F46&gt;=X$7,$F46&lt;=X$7+6),"◆","")</f>
        <v/>
      </c>
      <c r="Y46" s="31" t="str">
        <f>IF(AND($D46="Milestone",$F46&lt;&gt;"",$F46&gt;=Y$7,$F46&lt;=Y$7+6),"◆","")</f>
        <v/>
      </c>
      <c r="Z46" s="31" t="str">
        <f>IF(AND($D46="Milestone",$F46&lt;&gt;"",$F46&gt;=Z$7,$F46&lt;=Z$7+6),"◆","")</f>
        <v/>
      </c>
      <c r="AA46" s="31" t="str">
        <f>IF(AND($D46="Milestone",$F46&lt;&gt;"",$F46&gt;=AA$7,$F46&lt;=AA$7+6),"◆","")</f>
        <v/>
      </c>
      <c r="AB46" s="31" t="str">
        <f>IF(AND($D46="Milestone",$F46&lt;&gt;"",$F46&gt;=AB$7,$F46&lt;=AB$7+6),"◆","")</f>
        <v/>
      </c>
      <c r="AC46" s="31" t="str">
        <f>IF(AND($D46="Milestone",$F46&lt;&gt;"",$F46&gt;=AC$7,$F46&lt;=AC$7+6),"◆","")</f>
        <v/>
      </c>
      <c r="AD46" s="31" t="str">
        <f>IF(AND($D46="Milestone",$F46&lt;&gt;"",$F46&gt;=AD$7,$F46&lt;=AD$7+6),"◆","")</f>
        <v/>
      </c>
      <c r="AE46" s="31" t="str">
        <f>IF(AND($D46="Milestone",$F46&lt;&gt;"",$F46&gt;=AE$7,$F46&lt;=AE$7+6),"◆","")</f>
        <v/>
      </c>
      <c r="AF46" s="31" t="str">
        <f>IF(AND($D46="Milestone",$F46&lt;&gt;"",$F46&gt;=AF$7,$F46&lt;=AF$7+6),"◆","")</f>
        <v/>
      </c>
      <c r="AG46" s="31" t="str">
        <f>IF(AND($D46="Milestone",$F46&lt;&gt;"",$F46&gt;=AG$7,$F46&lt;=AG$7+6),"◆","")</f>
        <v/>
      </c>
      <c r="AH46" s="31" t="str">
        <f>IF(AND($D46="Milestone",$F46&lt;&gt;"",$F46&gt;=AH$7,$F46&lt;=AH$7+6),"◆","")</f>
        <v/>
      </c>
      <c r="AI46" s="31" t="str">
        <f>IF(AND($D46="Milestone",$F46&lt;&gt;"",$F46&gt;=AI$7,$F46&lt;=AI$7+6),"◆","")</f>
        <v/>
      </c>
      <c r="AJ46" s="31" t="str">
        <f>IF(AND($D46="Milestone",$F46&lt;&gt;"",$F46&gt;=AJ$7,$F46&lt;=AJ$7+6),"◆","")</f>
        <v/>
      </c>
      <c r="AK46" s="31" t="str">
        <f>IF(AND($D46="Milestone",$F46&lt;&gt;"",$F46&gt;=AK$7,$F46&lt;=AK$7+6),"◆","")</f>
        <v/>
      </c>
      <c r="AL46" s="31" t="str">
        <f>IF(AND($D46="Milestone",$F46&lt;&gt;"",$F46&gt;=AL$7,$F46&lt;=AL$7+6),"◆","")</f>
        <v/>
      </c>
      <c r="AM46" s="31" t="str">
        <f>IF(AND($D46="Milestone",$F46&lt;&gt;"",$F46&gt;=AM$7,$F46&lt;=AM$7+6),"◆","")</f>
        <v/>
      </c>
      <c r="AN46" s="31" t="str">
        <f>IF(AND($D46="Milestone",$F46&lt;&gt;"",$F46&gt;=AN$7,$F46&lt;=AN$7+6),"◆","")</f>
        <v/>
      </c>
      <c r="AO46" s="31" t="str">
        <f>IF(AND($D46="Milestone",$F46&lt;&gt;"",$F46&gt;=AO$7,$F46&lt;=AO$7+6),"◆","")</f>
        <v/>
      </c>
      <c r="AP46" s="31" t="str">
        <f>IF(AND($D46="Milestone",$F46&lt;&gt;"",$F46&gt;=AP$7,$F46&lt;=AP$7+6),"◆","")</f>
        <v/>
      </c>
    </row>
    <row r="47" spans="1:42" ht="18" customHeight="1" x14ac:dyDescent="0.2">
      <c r="A47" s="26"/>
      <c r="B47" s="27"/>
      <c r="C47" s="28"/>
      <c r="D47" s="29"/>
      <c r="E47" s="30"/>
      <c r="F47" s="30"/>
      <c r="G47" s="26" t="str">
        <f>IF(OR(E47="",F47=""),"",F47-E47+1)</f>
        <v/>
      </c>
      <c r="H47" s="31" t="str">
        <f>IF(AND($D47="Milestone",$F47&lt;&gt;"",$F47&gt;=H$7,$F47&lt;=H$7+6),"◆","")</f>
        <v/>
      </c>
      <c r="I47" s="31" t="str">
        <f>IF(AND($D47="Milestone",$F47&lt;&gt;"",$F47&gt;=I$7,$F47&lt;=I$7+6),"◆","")</f>
        <v/>
      </c>
      <c r="J47" s="31" t="str">
        <f>IF(AND($D47="Milestone",$F47&lt;&gt;"",$F47&gt;=J$7,$F47&lt;=J$7+6),"◆","")</f>
        <v/>
      </c>
      <c r="K47" s="31" t="str">
        <f>IF(AND($D47="Milestone",$F47&lt;&gt;"",$F47&gt;=K$7,$F47&lt;=K$7+6),"◆","")</f>
        <v/>
      </c>
      <c r="L47" s="31" t="str">
        <f>IF(AND($D47="Milestone",$F47&lt;&gt;"",$F47&gt;=L$7,$F47&lt;=L$7+6),"◆","")</f>
        <v/>
      </c>
      <c r="M47" s="31" t="str">
        <f>IF(AND($D47="Milestone",$F47&lt;&gt;"",$F47&gt;=M$7,$F47&lt;=M$7+6),"◆","")</f>
        <v/>
      </c>
      <c r="N47" s="31" t="str">
        <f>IF(AND($D47="Milestone",$F47&lt;&gt;"",$F47&gt;=N$7,$F47&lt;=N$7+6),"◆","")</f>
        <v/>
      </c>
      <c r="O47" s="31" t="str">
        <f>IF(AND($D47="Milestone",$F47&lt;&gt;"",$F47&gt;=O$7,$F47&lt;=O$7+6),"◆","")</f>
        <v/>
      </c>
      <c r="P47" s="31" t="str">
        <f>IF(AND($D47="Milestone",$F47&lt;&gt;"",$F47&gt;=P$7,$F47&lt;=P$7+6),"◆","")</f>
        <v/>
      </c>
      <c r="Q47" s="31" t="str">
        <f>IF(AND($D47="Milestone",$F47&lt;&gt;"",$F47&gt;=Q$7,$F47&lt;=Q$7+6),"◆","")</f>
        <v/>
      </c>
      <c r="R47" s="31" t="str">
        <f>IF(AND($D47="Milestone",$F47&lt;&gt;"",$F47&gt;=R$7,$F47&lt;=R$7+6),"◆","")</f>
        <v/>
      </c>
      <c r="S47" s="31" t="str">
        <f>IF(AND($D47="Milestone",$F47&lt;&gt;"",$F47&gt;=S$7,$F47&lt;=S$7+6),"◆","")</f>
        <v/>
      </c>
      <c r="T47" s="31" t="str">
        <f>IF(AND($D47="Milestone",$F47&lt;&gt;"",$F47&gt;=T$7,$F47&lt;=T$7+6),"◆","")</f>
        <v/>
      </c>
      <c r="U47" s="31" t="str">
        <f>IF(AND($D47="Milestone",$F47&lt;&gt;"",$F47&gt;=U$7,$F47&lt;=U$7+6),"◆","")</f>
        <v/>
      </c>
      <c r="V47" s="31" t="str">
        <f>IF(AND($D47="Milestone",$F47&lt;&gt;"",$F47&gt;=V$7,$F47&lt;=V$7+6),"◆","")</f>
        <v/>
      </c>
      <c r="W47" s="31" t="str">
        <f>IF(AND($D47="Milestone",$F47&lt;&gt;"",$F47&gt;=W$7,$F47&lt;=W$7+6),"◆","")</f>
        <v/>
      </c>
      <c r="X47" s="31" t="str">
        <f>IF(AND($D47="Milestone",$F47&lt;&gt;"",$F47&gt;=X$7,$F47&lt;=X$7+6),"◆","")</f>
        <v/>
      </c>
      <c r="Y47" s="31" t="str">
        <f>IF(AND($D47="Milestone",$F47&lt;&gt;"",$F47&gt;=Y$7,$F47&lt;=Y$7+6),"◆","")</f>
        <v/>
      </c>
      <c r="Z47" s="31" t="str">
        <f>IF(AND($D47="Milestone",$F47&lt;&gt;"",$F47&gt;=Z$7,$F47&lt;=Z$7+6),"◆","")</f>
        <v/>
      </c>
      <c r="AA47" s="31" t="str">
        <f>IF(AND($D47="Milestone",$F47&lt;&gt;"",$F47&gt;=AA$7,$F47&lt;=AA$7+6),"◆","")</f>
        <v/>
      </c>
      <c r="AB47" s="31" t="str">
        <f>IF(AND($D47="Milestone",$F47&lt;&gt;"",$F47&gt;=AB$7,$F47&lt;=AB$7+6),"◆","")</f>
        <v/>
      </c>
      <c r="AC47" s="31" t="str">
        <f>IF(AND($D47="Milestone",$F47&lt;&gt;"",$F47&gt;=AC$7,$F47&lt;=AC$7+6),"◆","")</f>
        <v/>
      </c>
      <c r="AD47" s="31" t="str">
        <f>IF(AND($D47="Milestone",$F47&lt;&gt;"",$F47&gt;=AD$7,$F47&lt;=AD$7+6),"◆","")</f>
        <v/>
      </c>
      <c r="AE47" s="31" t="str">
        <f>IF(AND($D47="Milestone",$F47&lt;&gt;"",$F47&gt;=AE$7,$F47&lt;=AE$7+6),"◆","")</f>
        <v/>
      </c>
      <c r="AF47" s="31" t="str">
        <f>IF(AND($D47="Milestone",$F47&lt;&gt;"",$F47&gt;=AF$7,$F47&lt;=AF$7+6),"◆","")</f>
        <v/>
      </c>
      <c r="AG47" s="31" t="str">
        <f>IF(AND($D47="Milestone",$F47&lt;&gt;"",$F47&gt;=AG$7,$F47&lt;=AG$7+6),"◆","")</f>
        <v/>
      </c>
      <c r="AH47" s="31" t="str">
        <f>IF(AND($D47="Milestone",$F47&lt;&gt;"",$F47&gt;=AH$7,$F47&lt;=AH$7+6),"◆","")</f>
        <v/>
      </c>
      <c r="AI47" s="31" t="str">
        <f>IF(AND($D47="Milestone",$F47&lt;&gt;"",$F47&gt;=AI$7,$F47&lt;=AI$7+6),"◆","")</f>
        <v/>
      </c>
      <c r="AJ47" s="31" t="str">
        <f>IF(AND($D47="Milestone",$F47&lt;&gt;"",$F47&gt;=AJ$7,$F47&lt;=AJ$7+6),"◆","")</f>
        <v/>
      </c>
      <c r="AK47" s="31" t="str">
        <f>IF(AND($D47="Milestone",$F47&lt;&gt;"",$F47&gt;=AK$7,$F47&lt;=AK$7+6),"◆","")</f>
        <v/>
      </c>
      <c r="AL47" s="31" t="str">
        <f>IF(AND($D47="Milestone",$F47&lt;&gt;"",$F47&gt;=AL$7,$F47&lt;=AL$7+6),"◆","")</f>
        <v/>
      </c>
      <c r="AM47" s="31" t="str">
        <f>IF(AND($D47="Milestone",$F47&lt;&gt;"",$F47&gt;=AM$7,$F47&lt;=AM$7+6),"◆","")</f>
        <v/>
      </c>
      <c r="AN47" s="31" t="str">
        <f>IF(AND($D47="Milestone",$F47&lt;&gt;"",$F47&gt;=AN$7,$F47&lt;=AN$7+6),"◆","")</f>
        <v/>
      </c>
      <c r="AO47" s="31" t="str">
        <f>IF(AND($D47="Milestone",$F47&lt;&gt;"",$F47&gt;=AO$7,$F47&lt;=AO$7+6),"◆","")</f>
        <v/>
      </c>
      <c r="AP47" s="31" t="str">
        <f>IF(AND($D47="Milestone",$F47&lt;&gt;"",$F47&gt;=AP$7,$F47&lt;=AP$7+6),"◆","")</f>
        <v/>
      </c>
    </row>
    <row r="48" spans="1:42" ht="18" customHeight="1" x14ac:dyDescent="0.2">
      <c r="A48" s="26"/>
      <c r="B48" s="27"/>
      <c r="C48" s="28"/>
      <c r="D48" s="29"/>
      <c r="E48" s="30"/>
      <c r="F48" s="30"/>
      <c r="G48" s="26" t="str">
        <f>IF(OR(E48="",F48=""),"",F48-E48+1)</f>
        <v/>
      </c>
      <c r="H48" s="31" t="str">
        <f>IF(AND($D48="Milestone",$F48&lt;&gt;"",$F48&gt;=H$7,$F48&lt;=H$7+6),"◆","")</f>
        <v/>
      </c>
      <c r="I48" s="31" t="str">
        <f>IF(AND($D48="Milestone",$F48&lt;&gt;"",$F48&gt;=I$7,$F48&lt;=I$7+6),"◆","")</f>
        <v/>
      </c>
      <c r="J48" s="31" t="str">
        <f>IF(AND($D48="Milestone",$F48&lt;&gt;"",$F48&gt;=J$7,$F48&lt;=J$7+6),"◆","")</f>
        <v/>
      </c>
      <c r="K48" s="31" t="str">
        <f>IF(AND($D48="Milestone",$F48&lt;&gt;"",$F48&gt;=K$7,$F48&lt;=K$7+6),"◆","")</f>
        <v/>
      </c>
      <c r="L48" s="31" t="str">
        <f>IF(AND($D48="Milestone",$F48&lt;&gt;"",$F48&gt;=L$7,$F48&lt;=L$7+6),"◆","")</f>
        <v/>
      </c>
      <c r="M48" s="31" t="str">
        <f>IF(AND($D48="Milestone",$F48&lt;&gt;"",$F48&gt;=M$7,$F48&lt;=M$7+6),"◆","")</f>
        <v/>
      </c>
      <c r="N48" s="31" t="str">
        <f>IF(AND($D48="Milestone",$F48&lt;&gt;"",$F48&gt;=N$7,$F48&lt;=N$7+6),"◆","")</f>
        <v/>
      </c>
      <c r="O48" s="31" t="str">
        <f>IF(AND($D48="Milestone",$F48&lt;&gt;"",$F48&gt;=O$7,$F48&lt;=O$7+6),"◆","")</f>
        <v/>
      </c>
      <c r="P48" s="31" t="str">
        <f>IF(AND($D48="Milestone",$F48&lt;&gt;"",$F48&gt;=P$7,$F48&lt;=P$7+6),"◆","")</f>
        <v/>
      </c>
      <c r="Q48" s="31" t="str">
        <f>IF(AND($D48="Milestone",$F48&lt;&gt;"",$F48&gt;=Q$7,$F48&lt;=Q$7+6),"◆","")</f>
        <v/>
      </c>
      <c r="R48" s="31" t="str">
        <f>IF(AND($D48="Milestone",$F48&lt;&gt;"",$F48&gt;=R$7,$F48&lt;=R$7+6),"◆","")</f>
        <v/>
      </c>
      <c r="S48" s="31" t="str">
        <f>IF(AND($D48="Milestone",$F48&lt;&gt;"",$F48&gt;=S$7,$F48&lt;=S$7+6),"◆","")</f>
        <v/>
      </c>
      <c r="T48" s="31" t="str">
        <f>IF(AND($D48="Milestone",$F48&lt;&gt;"",$F48&gt;=T$7,$F48&lt;=T$7+6),"◆","")</f>
        <v/>
      </c>
      <c r="U48" s="31" t="str">
        <f>IF(AND($D48="Milestone",$F48&lt;&gt;"",$F48&gt;=U$7,$F48&lt;=U$7+6),"◆","")</f>
        <v/>
      </c>
      <c r="V48" s="31" t="str">
        <f>IF(AND($D48="Milestone",$F48&lt;&gt;"",$F48&gt;=V$7,$F48&lt;=V$7+6),"◆","")</f>
        <v/>
      </c>
      <c r="W48" s="31" t="str">
        <f>IF(AND($D48="Milestone",$F48&lt;&gt;"",$F48&gt;=W$7,$F48&lt;=W$7+6),"◆","")</f>
        <v/>
      </c>
      <c r="X48" s="31" t="str">
        <f>IF(AND($D48="Milestone",$F48&lt;&gt;"",$F48&gt;=X$7,$F48&lt;=X$7+6),"◆","")</f>
        <v/>
      </c>
      <c r="Y48" s="31" t="str">
        <f>IF(AND($D48="Milestone",$F48&lt;&gt;"",$F48&gt;=Y$7,$F48&lt;=Y$7+6),"◆","")</f>
        <v/>
      </c>
      <c r="Z48" s="31" t="str">
        <f>IF(AND($D48="Milestone",$F48&lt;&gt;"",$F48&gt;=Z$7,$F48&lt;=Z$7+6),"◆","")</f>
        <v/>
      </c>
      <c r="AA48" s="31" t="str">
        <f>IF(AND($D48="Milestone",$F48&lt;&gt;"",$F48&gt;=AA$7,$F48&lt;=AA$7+6),"◆","")</f>
        <v/>
      </c>
      <c r="AB48" s="31" t="str">
        <f>IF(AND($D48="Milestone",$F48&lt;&gt;"",$F48&gt;=AB$7,$F48&lt;=AB$7+6),"◆","")</f>
        <v/>
      </c>
      <c r="AC48" s="31" t="str">
        <f>IF(AND($D48="Milestone",$F48&lt;&gt;"",$F48&gt;=AC$7,$F48&lt;=AC$7+6),"◆","")</f>
        <v/>
      </c>
      <c r="AD48" s="31" t="str">
        <f>IF(AND($D48="Milestone",$F48&lt;&gt;"",$F48&gt;=AD$7,$F48&lt;=AD$7+6),"◆","")</f>
        <v/>
      </c>
      <c r="AE48" s="31" t="str">
        <f>IF(AND($D48="Milestone",$F48&lt;&gt;"",$F48&gt;=AE$7,$F48&lt;=AE$7+6),"◆","")</f>
        <v/>
      </c>
      <c r="AF48" s="31" t="str">
        <f>IF(AND($D48="Milestone",$F48&lt;&gt;"",$F48&gt;=AF$7,$F48&lt;=AF$7+6),"◆","")</f>
        <v/>
      </c>
      <c r="AG48" s="31" t="str">
        <f>IF(AND($D48="Milestone",$F48&lt;&gt;"",$F48&gt;=AG$7,$F48&lt;=AG$7+6),"◆","")</f>
        <v/>
      </c>
      <c r="AH48" s="31" t="str">
        <f>IF(AND($D48="Milestone",$F48&lt;&gt;"",$F48&gt;=AH$7,$F48&lt;=AH$7+6),"◆","")</f>
        <v/>
      </c>
      <c r="AI48" s="31" t="str">
        <f>IF(AND($D48="Milestone",$F48&lt;&gt;"",$F48&gt;=AI$7,$F48&lt;=AI$7+6),"◆","")</f>
        <v/>
      </c>
      <c r="AJ48" s="31" t="str">
        <f>IF(AND($D48="Milestone",$F48&lt;&gt;"",$F48&gt;=AJ$7,$F48&lt;=AJ$7+6),"◆","")</f>
        <v/>
      </c>
      <c r="AK48" s="31" t="str">
        <f>IF(AND($D48="Milestone",$F48&lt;&gt;"",$F48&gt;=AK$7,$F48&lt;=AK$7+6),"◆","")</f>
        <v/>
      </c>
      <c r="AL48" s="31" t="str">
        <f>IF(AND($D48="Milestone",$F48&lt;&gt;"",$F48&gt;=AL$7,$F48&lt;=AL$7+6),"◆","")</f>
        <v/>
      </c>
      <c r="AM48" s="31" t="str">
        <f>IF(AND($D48="Milestone",$F48&lt;&gt;"",$F48&gt;=AM$7,$F48&lt;=AM$7+6),"◆","")</f>
        <v/>
      </c>
      <c r="AN48" s="31" t="str">
        <f>IF(AND($D48="Milestone",$F48&lt;&gt;"",$F48&gt;=AN$7,$F48&lt;=AN$7+6),"◆","")</f>
        <v/>
      </c>
      <c r="AO48" s="31" t="str">
        <f>IF(AND($D48="Milestone",$F48&lt;&gt;"",$F48&gt;=AO$7,$F48&lt;=AO$7+6),"◆","")</f>
        <v/>
      </c>
      <c r="AP48" s="31" t="str">
        <f>IF(AND($D48="Milestone",$F48&lt;&gt;"",$F48&gt;=AP$7,$F48&lt;=AP$7+6),"◆","")</f>
        <v/>
      </c>
    </row>
    <row r="49" spans="1:42" ht="18" customHeight="1" x14ac:dyDescent="0.2">
      <c r="A49" s="26"/>
      <c r="B49" s="27"/>
      <c r="C49" s="28"/>
      <c r="D49" s="29"/>
      <c r="E49" s="30"/>
      <c r="F49" s="30"/>
      <c r="G49" s="26" t="str">
        <f>IF(OR(E49="",F49=""),"",F49-E49+1)</f>
        <v/>
      </c>
      <c r="H49" s="31" t="str">
        <f>IF(AND($D49="Milestone",$F49&lt;&gt;"",$F49&gt;=H$7,$F49&lt;=H$7+6),"◆","")</f>
        <v/>
      </c>
      <c r="I49" s="31" t="str">
        <f>IF(AND($D49="Milestone",$F49&lt;&gt;"",$F49&gt;=I$7,$F49&lt;=I$7+6),"◆","")</f>
        <v/>
      </c>
      <c r="J49" s="31" t="str">
        <f>IF(AND($D49="Milestone",$F49&lt;&gt;"",$F49&gt;=J$7,$F49&lt;=J$7+6),"◆","")</f>
        <v/>
      </c>
      <c r="K49" s="31" t="str">
        <f>IF(AND($D49="Milestone",$F49&lt;&gt;"",$F49&gt;=K$7,$F49&lt;=K$7+6),"◆","")</f>
        <v/>
      </c>
      <c r="L49" s="31" t="str">
        <f>IF(AND($D49="Milestone",$F49&lt;&gt;"",$F49&gt;=L$7,$F49&lt;=L$7+6),"◆","")</f>
        <v/>
      </c>
      <c r="M49" s="31" t="str">
        <f>IF(AND($D49="Milestone",$F49&lt;&gt;"",$F49&gt;=M$7,$F49&lt;=M$7+6),"◆","")</f>
        <v/>
      </c>
      <c r="N49" s="31" t="str">
        <f>IF(AND($D49="Milestone",$F49&lt;&gt;"",$F49&gt;=N$7,$F49&lt;=N$7+6),"◆","")</f>
        <v/>
      </c>
      <c r="O49" s="31" t="str">
        <f>IF(AND($D49="Milestone",$F49&lt;&gt;"",$F49&gt;=O$7,$F49&lt;=O$7+6),"◆","")</f>
        <v/>
      </c>
      <c r="P49" s="31" t="str">
        <f>IF(AND($D49="Milestone",$F49&lt;&gt;"",$F49&gt;=P$7,$F49&lt;=P$7+6),"◆","")</f>
        <v/>
      </c>
      <c r="Q49" s="31" t="str">
        <f>IF(AND($D49="Milestone",$F49&lt;&gt;"",$F49&gt;=Q$7,$F49&lt;=Q$7+6),"◆","")</f>
        <v/>
      </c>
      <c r="R49" s="31" t="str">
        <f>IF(AND($D49="Milestone",$F49&lt;&gt;"",$F49&gt;=R$7,$F49&lt;=R$7+6),"◆","")</f>
        <v/>
      </c>
      <c r="S49" s="31" t="str">
        <f>IF(AND($D49="Milestone",$F49&lt;&gt;"",$F49&gt;=S$7,$F49&lt;=S$7+6),"◆","")</f>
        <v/>
      </c>
      <c r="T49" s="31" t="str">
        <f>IF(AND($D49="Milestone",$F49&lt;&gt;"",$F49&gt;=T$7,$F49&lt;=T$7+6),"◆","")</f>
        <v/>
      </c>
      <c r="U49" s="31" t="str">
        <f>IF(AND($D49="Milestone",$F49&lt;&gt;"",$F49&gt;=U$7,$F49&lt;=U$7+6),"◆","")</f>
        <v/>
      </c>
      <c r="V49" s="31" t="str">
        <f>IF(AND($D49="Milestone",$F49&lt;&gt;"",$F49&gt;=V$7,$F49&lt;=V$7+6),"◆","")</f>
        <v/>
      </c>
      <c r="W49" s="31" t="str">
        <f>IF(AND($D49="Milestone",$F49&lt;&gt;"",$F49&gt;=W$7,$F49&lt;=W$7+6),"◆","")</f>
        <v/>
      </c>
      <c r="X49" s="31" t="str">
        <f>IF(AND($D49="Milestone",$F49&lt;&gt;"",$F49&gt;=X$7,$F49&lt;=X$7+6),"◆","")</f>
        <v/>
      </c>
      <c r="Y49" s="31" t="str">
        <f>IF(AND($D49="Milestone",$F49&lt;&gt;"",$F49&gt;=Y$7,$F49&lt;=Y$7+6),"◆","")</f>
        <v/>
      </c>
      <c r="Z49" s="31" t="str">
        <f>IF(AND($D49="Milestone",$F49&lt;&gt;"",$F49&gt;=Z$7,$F49&lt;=Z$7+6),"◆","")</f>
        <v/>
      </c>
      <c r="AA49" s="31" t="str">
        <f>IF(AND($D49="Milestone",$F49&lt;&gt;"",$F49&gt;=AA$7,$F49&lt;=AA$7+6),"◆","")</f>
        <v/>
      </c>
      <c r="AB49" s="31" t="str">
        <f>IF(AND($D49="Milestone",$F49&lt;&gt;"",$F49&gt;=AB$7,$F49&lt;=AB$7+6),"◆","")</f>
        <v/>
      </c>
      <c r="AC49" s="31" t="str">
        <f>IF(AND($D49="Milestone",$F49&lt;&gt;"",$F49&gt;=AC$7,$F49&lt;=AC$7+6),"◆","")</f>
        <v/>
      </c>
      <c r="AD49" s="31" t="str">
        <f>IF(AND($D49="Milestone",$F49&lt;&gt;"",$F49&gt;=AD$7,$F49&lt;=AD$7+6),"◆","")</f>
        <v/>
      </c>
      <c r="AE49" s="31" t="str">
        <f>IF(AND($D49="Milestone",$F49&lt;&gt;"",$F49&gt;=AE$7,$F49&lt;=AE$7+6),"◆","")</f>
        <v/>
      </c>
      <c r="AF49" s="31" t="str">
        <f>IF(AND($D49="Milestone",$F49&lt;&gt;"",$F49&gt;=AF$7,$F49&lt;=AF$7+6),"◆","")</f>
        <v/>
      </c>
      <c r="AG49" s="31" t="str">
        <f>IF(AND($D49="Milestone",$F49&lt;&gt;"",$F49&gt;=AG$7,$F49&lt;=AG$7+6),"◆","")</f>
        <v/>
      </c>
      <c r="AH49" s="31" t="str">
        <f>IF(AND($D49="Milestone",$F49&lt;&gt;"",$F49&gt;=AH$7,$F49&lt;=AH$7+6),"◆","")</f>
        <v/>
      </c>
      <c r="AI49" s="31" t="str">
        <f>IF(AND($D49="Milestone",$F49&lt;&gt;"",$F49&gt;=AI$7,$F49&lt;=AI$7+6),"◆","")</f>
        <v/>
      </c>
      <c r="AJ49" s="31" t="str">
        <f>IF(AND($D49="Milestone",$F49&lt;&gt;"",$F49&gt;=AJ$7,$F49&lt;=AJ$7+6),"◆","")</f>
        <v/>
      </c>
      <c r="AK49" s="31" t="str">
        <f>IF(AND($D49="Milestone",$F49&lt;&gt;"",$F49&gt;=AK$7,$F49&lt;=AK$7+6),"◆","")</f>
        <v/>
      </c>
      <c r="AL49" s="31" t="str">
        <f>IF(AND($D49="Milestone",$F49&lt;&gt;"",$F49&gt;=AL$7,$F49&lt;=AL$7+6),"◆","")</f>
        <v/>
      </c>
      <c r="AM49" s="31" t="str">
        <f>IF(AND($D49="Milestone",$F49&lt;&gt;"",$F49&gt;=AM$7,$F49&lt;=AM$7+6),"◆","")</f>
        <v/>
      </c>
      <c r="AN49" s="31" t="str">
        <f>IF(AND($D49="Milestone",$F49&lt;&gt;"",$F49&gt;=AN$7,$F49&lt;=AN$7+6),"◆","")</f>
        <v/>
      </c>
      <c r="AO49" s="31" t="str">
        <f>IF(AND($D49="Milestone",$F49&lt;&gt;"",$F49&gt;=AO$7,$F49&lt;=AO$7+6),"◆","")</f>
        <v/>
      </c>
      <c r="AP49" s="31" t="str">
        <f>IF(AND($D49="Milestone",$F49&lt;&gt;"",$F49&gt;=AP$7,$F49&lt;=AP$7+6),"◆","")</f>
        <v/>
      </c>
    </row>
    <row r="50" spans="1:42" ht="18" customHeight="1" x14ac:dyDescent="0.2">
      <c r="A50" s="26"/>
      <c r="B50" s="27"/>
      <c r="C50" s="28"/>
      <c r="D50" s="29"/>
      <c r="E50" s="30"/>
      <c r="F50" s="30"/>
      <c r="G50" s="26" t="str">
        <f t="shared" si="2"/>
        <v/>
      </c>
      <c r="H50" s="31" t="str">
        <f t="shared" si="15"/>
        <v/>
      </c>
      <c r="I50" s="31" t="str">
        <f t="shared" si="15"/>
        <v/>
      </c>
      <c r="J50" s="31" t="str">
        <f t="shared" si="15"/>
        <v/>
      </c>
      <c r="K50" s="31" t="str">
        <f t="shared" si="15"/>
        <v/>
      </c>
      <c r="L50" s="31" t="str">
        <f t="shared" si="15"/>
        <v/>
      </c>
      <c r="M50" s="31" t="str">
        <f t="shared" si="15"/>
        <v/>
      </c>
      <c r="N50" s="31" t="str">
        <f t="shared" si="15"/>
        <v/>
      </c>
      <c r="O50" s="31" t="str">
        <f t="shared" si="15"/>
        <v/>
      </c>
      <c r="P50" s="31" t="str">
        <f t="shared" si="15"/>
        <v/>
      </c>
      <c r="Q50" s="31" t="str">
        <f t="shared" si="15"/>
        <v/>
      </c>
      <c r="R50" s="31" t="str">
        <f t="shared" si="16"/>
        <v/>
      </c>
      <c r="S50" s="31" t="str">
        <f t="shared" si="16"/>
        <v/>
      </c>
      <c r="T50" s="31" t="str">
        <f t="shared" si="16"/>
        <v/>
      </c>
      <c r="U50" s="31" t="str">
        <f t="shared" si="16"/>
        <v/>
      </c>
      <c r="V50" s="31" t="str">
        <f t="shared" si="16"/>
        <v/>
      </c>
      <c r="W50" s="31" t="str">
        <f t="shared" si="16"/>
        <v/>
      </c>
      <c r="X50" s="31" t="str">
        <f t="shared" si="16"/>
        <v/>
      </c>
      <c r="Y50" s="31" t="str">
        <f t="shared" si="16"/>
        <v/>
      </c>
      <c r="Z50" s="31" t="str">
        <f t="shared" si="16"/>
        <v/>
      </c>
      <c r="AA50" s="31" t="str">
        <f t="shared" si="16"/>
        <v/>
      </c>
      <c r="AB50" s="31" t="str">
        <f t="shared" si="17"/>
        <v/>
      </c>
      <c r="AC50" s="31" t="str">
        <f t="shared" si="17"/>
        <v/>
      </c>
      <c r="AD50" s="31" t="str">
        <f t="shared" si="17"/>
        <v/>
      </c>
      <c r="AE50" s="31" t="str">
        <f t="shared" si="17"/>
        <v/>
      </c>
      <c r="AF50" s="31" t="str">
        <f t="shared" si="17"/>
        <v/>
      </c>
      <c r="AG50" s="31" t="str">
        <f t="shared" si="17"/>
        <v/>
      </c>
      <c r="AH50" s="31" t="str">
        <f t="shared" si="17"/>
        <v/>
      </c>
      <c r="AI50" s="31" t="str">
        <f t="shared" si="17"/>
        <v/>
      </c>
      <c r="AJ50" s="31" t="str">
        <f t="shared" si="17"/>
        <v/>
      </c>
      <c r="AK50" s="31" t="str">
        <f t="shared" si="17"/>
        <v/>
      </c>
      <c r="AL50" s="31" t="str">
        <f t="shared" si="17"/>
        <v/>
      </c>
      <c r="AM50" s="31" t="str">
        <f t="shared" si="17"/>
        <v/>
      </c>
      <c r="AN50" s="31" t="str">
        <f t="shared" si="17"/>
        <v/>
      </c>
      <c r="AO50" s="31" t="str">
        <f t="shared" si="17"/>
        <v/>
      </c>
      <c r="AP50" s="31" t="str">
        <f t="shared" si="17"/>
        <v/>
      </c>
    </row>
    <row r="52" spans="1:42" x14ac:dyDescent="0.2">
      <c r="A52" s="8" t="s">
        <v>98</v>
      </c>
    </row>
    <row r="53" spans="1:42" x14ac:dyDescent="0.2">
      <c r="A53" s="8" t="s">
        <v>99</v>
      </c>
    </row>
  </sheetData>
  <phoneticPr fontId="18" type="noConversion"/>
  <conditionalFormatting sqref="H5:AP50">
    <cfRule type="expression" dxfId="6" priority="8">
      <formula>AND(TODAY()&gt;=H$7,TODAY()&lt;=H$7+6)</formula>
    </cfRule>
  </conditionalFormatting>
  <conditionalFormatting sqref="H8:AP50">
    <cfRule type="expression" dxfId="5" priority="2">
      <formula>H$6="Break"</formula>
    </cfRule>
    <cfRule type="expression" dxfId="4" priority="3">
      <formula>AND($D8="Milestone",AND($E8&lt;&gt;"",$F8&lt;&gt;"",$E8&lt;=H$7+6,$F8&gt;=H$7))</formula>
    </cfRule>
    <cfRule type="expression" dxfId="3" priority="4">
      <formula>AND($D8="Phase",AND($E8&lt;&gt;"",$F8&lt;&gt;"",$E8&lt;=H$7+6,$F8&gt;=H$7))</formula>
    </cfRule>
    <cfRule type="expression" dxfId="2" priority="5">
      <formula>AND(AND($E8&lt;&gt;"",$F8&lt;&gt;"",$E8&lt;=H$7+6,$F8&gt;=H$7),$D8="Deliverable")</formula>
    </cfRule>
    <cfRule type="expression" dxfId="1" priority="6">
      <formula>AND(AND($E8&lt;&gt;"",$F8&lt;&gt;"",$E8&lt;=H$7+6,$F8&gt;=H$7),$D8="Recurring")</formula>
    </cfRule>
    <cfRule type="expression" dxfId="0" priority="7">
      <formula>AND($E8&lt;&gt;"",$F8&lt;&gt;"",$E8&lt;=H$7+6,$F8&gt;=H$7)</formula>
    </cfRule>
  </conditionalFormatting>
  <dataValidations count="1">
    <dataValidation type="list" allowBlank="1" sqref="D9:D11 D13:D19 D21:D26 D28:D38 D40:D50" xr:uid="{00000000-0002-0000-0000-000000000000}">
      <formula1>"Task,Deliverable,Milestone,Recurring"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7" customWidth="1"/>
    <col min="2" max="3" width="9" customWidth="1"/>
    <col min="4" max="4" width="34" customWidth="1"/>
    <col min="5" max="5" width="11" customWidth="1"/>
    <col min="6" max="6" width="12" customWidth="1"/>
    <col min="7" max="7" width="20" customWidth="1"/>
    <col min="8" max="8" width="60" customWidth="1"/>
  </cols>
  <sheetData>
    <row r="1" spans="1:8" ht="18" x14ac:dyDescent="0.2">
      <c r="A1" s="32" t="s">
        <v>100</v>
      </c>
    </row>
    <row r="3" spans="1:8" ht="31" x14ac:dyDescent="0.2">
      <c r="A3" s="33" t="s">
        <v>101</v>
      </c>
      <c r="B3" s="33" t="s">
        <v>15</v>
      </c>
      <c r="C3" s="33" t="s">
        <v>102</v>
      </c>
      <c r="D3" s="33" t="s">
        <v>103</v>
      </c>
      <c r="E3" s="33" t="s">
        <v>104</v>
      </c>
      <c r="F3" s="33" t="s">
        <v>105</v>
      </c>
      <c r="G3" s="33" t="s">
        <v>106</v>
      </c>
      <c r="H3" s="33" t="s">
        <v>107</v>
      </c>
    </row>
    <row r="4" spans="1:8" x14ac:dyDescent="0.2">
      <c r="A4" s="34">
        <v>1</v>
      </c>
      <c r="B4" s="35">
        <v>46265</v>
      </c>
      <c r="C4" s="35">
        <v>46271</v>
      </c>
      <c r="D4" s="36" t="s">
        <v>108</v>
      </c>
      <c r="E4" s="34" t="s">
        <v>109</v>
      </c>
      <c r="F4" s="34" t="s">
        <v>109</v>
      </c>
      <c r="G4" s="37" t="s">
        <v>109</v>
      </c>
      <c r="H4" s="36"/>
    </row>
    <row r="5" spans="1:8" x14ac:dyDescent="0.2">
      <c r="A5" s="34">
        <v>2</v>
      </c>
      <c r="B5" s="35">
        <v>46272</v>
      </c>
      <c r="C5" s="35">
        <v>46278</v>
      </c>
      <c r="D5" s="36" t="s">
        <v>108</v>
      </c>
      <c r="E5" s="34" t="s">
        <v>109</v>
      </c>
      <c r="F5" s="34" t="s">
        <v>109</v>
      </c>
      <c r="G5" s="37" t="s">
        <v>109</v>
      </c>
      <c r="H5" s="36" t="s">
        <v>22</v>
      </c>
    </row>
    <row r="6" spans="1:8" x14ac:dyDescent="0.2">
      <c r="A6" s="34">
        <v>3</v>
      </c>
      <c r="B6" s="35">
        <v>46279</v>
      </c>
      <c r="C6" s="35">
        <v>46285</v>
      </c>
      <c r="D6" s="36" t="s">
        <v>110</v>
      </c>
      <c r="E6" s="34" t="s">
        <v>111</v>
      </c>
      <c r="F6" s="34" t="s">
        <v>112</v>
      </c>
      <c r="G6" s="37" t="s">
        <v>109</v>
      </c>
      <c r="H6" s="36" t="s">
        <v>25</v>
      </c>
    </row>
    <row r="7" spans="1:8" x14ac:dyDescent="0.2">
      <c r="A7" s="34">
        <v>4</v>
      </c>
      <c r="B7" s="35">
        <v>46286</v>
      </c>
      <c r="C7" s="35">
        <v>46292</v>
      </c>
      <c r="D7" s="36" t="s">
        <v>113</v>
      </c>
      <c r="E7" s="34" t="s">
        <v>114</v>
      </c>
      <c r="F7" s="34" t="s">
        <v>115</v>
      </c>
      <c r="G7" s="37" t="s">
        <v>109</v>
      </c>
      <c r="H7" s="36" t="s">
        <v>32</v>
      </c>
    </row>
    <row r="8" spans="1:8" x14ac:dyDescent="0.2">
      <c r="A8" s="34">
        <v>5</v>
      </c>
      <c r="B8" s="35">
        <v>46293</v>
      </c>
      <c r="C8" s="35">
        <v>46299</v>
      </c>
      <c r="D8" s="36" t="s">
        <v>116</v>
      </c>
      <c r="E8" s="34" t="s">
        <v>117</v>
      </c>
      <c r="F8" s="34" t="s">
        <v>118</v>
      </c>
      <c r="G8" s="37" t="s">
        <v>109</v>
      </c>
      <c r="H8" s="36" t="s">
        <v>119</v>
      </c>
    </row>
    <row r="9" spans="1:8" x14ac:dyDescent="0.2">
      <c r="A9" s="34">
        <v>6</v>
      </c>
      <c r="B9" s="35">
        <v>46300</v>
      </c>
      <c r="C9" s="35">
        <v>46306</v>
      </c>
      <c r="D9" s="36" t="s">
        <v>120</v>
      </c>
      <c r="E9" s="34" t="s">
        <v>121</v>
      </c>
      <c r="F9" s="34" t="s">
        <v>122</v>
      </c>
      <c r="G9" s="37" t="s">
        <v>123</v>
      </c>
      <c r="H9" s="36" t="s">
        <v>38</v>
      </c>
    </row>
    <row r="10" spans="1:8" x14ac:dyDescent="0.2">
      <c r="A10" s="34">
        <v>7</v>
      </c>
      <c r="B10" s="35">
        <v>46307</v>
      </c>
      <c r="C10" s="35">
        <v>46313</v>
      </c>
      <c r="D10" s="36" t="s">
        <v>124</v>
      </c>
      <c r="E10" s="34" t="s">
        <v>125</v>
      </c>
      <c r="F10" s="34" t="s">
        <v>126</v>
      </c>
      <c r="G10" s="37" t="s">
        <v>109</v>
      </c>
      <c r="H10" s="36"/>
    </row>
    <row r="11" spans="1:8" x14ac:dyDescent="0.2">
      <c r="A11" s="34">
        <v>8</v>
      </c>
      <c r="B11" s="35">
        <v>46314</v>
      </c>
      <c r="C11" s="35">
        <v>46320</v>
      </c>
      <c r="D11" s="36" t="s">
        <v>127</v>
      </c>
      <c r="E11" s="34" t="s">
        <v>128</v>
      </c>
      <c r="F11" s="34" t="s">
        <v>129</v>
      </c>
      <c r="G11" s="37" t="s">
        <v>109</v>
      </c>
      <c r="H11" s="36" t="s">
        <v>130</v>
      </c>
    </row>
    <row r="12" spans="1:8" x14ac:dyDescent="0.2">
      <c r="A12" s="34">
        <v>9</v>
      </c>
      <c r="B12" s="35">
        <v>46321</v>
      </c>
      <c r="C12" s="35">
        <v>46327</v>
      </c>
      <c r="D12" s="36" t="s">
        <v>131</v>
      </c>
      <c r="E12" s="34" t="s">
        <v>132</v>
      </c>
      <c r="F12" s="34" t="s">
        <v>133</v>
      </c>
      <c r="G12" s="37" t="s">
        <v>109</v>
      </c>
      <c r="H12" s="36"/>
    </row>
    <row r="13" spans="1:8" x14ac:dyDescent="0.2">
      <c r="A13" s="34">
        <v>10</v>
      </c>
      <c r="B13" s="35">
        <v>46328</v>
      </c>
      <c r="C13" s="35">
        <v>46334</v>
      </c>
      <c r="D13" s="36" t="s">
        <v>131</v>
      </c>
      <c r="E13" s="34" t="s">
        <v>134</v>
      </c>
      <c r="F13" s="34" t="s">
        <v>135</v>
      </c>
      <c r="G13" s="37" t="s">
        <v>109</v>
      </c>
      <c r="H13" s="36" t="s">
        <v>136</v>
      </c>
    </row>
    <row r="14" spans="1:8" x14ac:dyDescent="0.2">
      <c r="A14" s="34">
        <v>11</v>
      </c>
      <c r="B14" s="35">
        <v>46335</v>
      </c>
      <c r="C14" s="35">
        <v>46341</v>
      </c>
      <c r="D14" s="36" t="s">
        <v>137</v>
      </c>
      <c r="E14" s="34" t="s">
        <v>138</v>
      </c>
      <c r="F14" s="34" t="s">
        <v>139</v>
      </c>
      <c r="G14" s="37" t="s">
        <v>140</v>
      </c>
      <c r="H14" s="36"/>
    </row>
    <row r="15" spans="1:8" x14ac:dyDescent="0.2">
      <c r="A15" s="34">
        <v>12</v>
      </c>
      <c r="B15" s="35">
        <v>46342</v>
      </c>
      <c r="C15" s="35">
        <v>46348</v>
      </c>
      <c r="D15" s="36" t="s">
        <v>137</v>
      </c>
      <c r="E15" s="34" t="s">
        <v>141</v>
      </c>
      <c r="F15" s="34" t="s">
        <v>142</v>
      </c>
      <c r="G15" s="37" t="s">
        <v>109</v>
      </c>
      <c r="H15" s="36"/>
    </row>
    <row r="16" spans="1:8" x14ac:dyDescent="0.2">
      <c r="A16" s="34">
        <v>13</v>
      </c>
      <c r="B16" s="35">
        <v>46349</v>
      </c>
      <c r="C16" s="35">
        <v>46355</v>
      </c>
      <c r="D16" s="36" t="s">
        <v>137</v>
      </c>
      <c r="E16" s="34" t="s">
        <v>109</v>
      </c>
      <c r="F16" s="34" t="s">
        <v>109</v>
      </c>
      <c r="G16" s="37" t="s">
        <v>109</v>
      </c>
      <c r="H16" s="36"/>
    </row>
    <row r="17" spans="1:8" ht="28" x14ac:dyDescent="0.2">
      <c r="A17" s="34">
        <v>14</v>
      </c>
      <c r="B17" s="35">
        <v>46356</v>
      </c>
      <c r="C17" s="35">
        <v>46362</v>
      </c>
      <c r="D17" s="36" t="s">
        <v>137</v>
      </c>
      <c r="E17" s="34" t="s">
        <v>143</v>
      </c>
      <c r="F17" s="34" t="s">
        <v>144</v>
      </c>
      <c r="G17" s="37" t="s">
        <v>109</v>
      </c>
      <c r="H17" s="36" t="s">
        <v>145</v>
      </c>
    </row>
    <row r="18" spans="1:8" x14ac:dyDescent="0.2">
      <c r="A18" s="34">
        <v>15</v>
      </c>
      <c r="B18" s="35">
        <v>46363</v>
      </c>
      <c r="C18" s="35">
        <v>46369</v>
      </c>
      <c r="D18" s="36" t="s">
        <v>146</v>
      </c>
      <c r="E18" s="34" t="s">
        <v>109</v>
      </c>
      <c r="F18" s="34" t="s">
        <v>109</v>
      </c>
      <c r="G18" s="37" t="s">
        <v>147</v>
      </c>
      <c r="H18" s="36" t="s">
        <v>148</v>
      </c>
    </row>
    <row r="19" spans="1:8" x14ac:dyDescent="0.2">
      <c r="A19" s="2" t="s">
        <v>149</v>
      </c>
      <c r="B19" s="2"/>
      <c r="C19" s="2"/>
      <c r="D19" s="2"/>
      <c r="E19" s="2"/>
      <c r="F19" s="2"/>
      <c r="G19" s="2"/>
      <c r="H19" s="2"/>
    </row>
    <row r="20" spans="1:8" x14ac:dyDescent="0.2">
      <c r="A20" s="34">
        <v>16</v>
      </c>
      <c r="B20" s="35">
        <v>46398</v>
      </c>
      <c r="C20" s="35">
        <v>46404</v>
      </c>
      <c r="D20" s="36" t="s">
        <v>150</v>
      </c>
      <c r="E20" s="34" t="s">
        <v>151</v>
      </c>
      <c r="F20" s="34" t="s">
        <v>152</v>
      </c>
      <c r="G20" s="37" t="s">
        <v>109</v>
      </c>
      <c r="H20" s="36"/>
    </row>
    <row r="21" spans="1:8" x14ac:dyDescent="0.2">
      <c r="A21" s="34">
        <v>17</v>
      </c>
      <c r="B21" s="35">
        <v>46405</v>
      </c>
      <c r="C21" s="35">
        <v>46411</v>
      </c>
      <c r="D21" s="36" t="s">
        <v>150</v>
      </c>
      <c r="E21" s="34" t="s">
        <v>153</v>
      </c>
      <c r="F21" s="34" t="s">
        <v>154</v>
      </c>
      <c r="G21" s="37" t="s">
        <v>109</v>
      </c>
      <c r="H21" s="36"/>
    </row>
    <row r="22" spans="1:8" x14ac:dyDescent="0.2">
      <c r="A22" s="34">
        <v>18</v>
      </c>
      <c r="B22" s="35">
        <v>46412</v>
      </c>
      <c r="C22" s="35">
        <v>46418</v>
      </c>
      <c r="D22" s="36" t="s">
        <v>150</v>
      </c>
      <c r="E22" s="34" t="s">
        <v>155</v>
      </c>
      <c r="F22" s="34" t="s">
        <v>156</v>
      </c>
      <c r="G22" s="37" t="s">
        <v>109</v>
      </c>
      <c r="H22" s="36"/>
    </row>
    <row r="23" spans="1:8" x14ac:dyDescent="0.2">
      <c r="A23" s="34">
        <v>19</v>
      </c>
      <c r="B23" s="35">
        <v>46419</v>
      </c>
      <c r="C23" s="35">
        <v>46425</v>
      </c>
      <c r="D23" s="36" t="s">
        <v>150</v>
      </c>
      <c r="E23" s="34" t="s">
        <v>157</v>
      </c>
      <c r="F23" s="34" t="s">
        <v>158</v>
      </c>
      <c r="G23" s="37" t="s">
        <v>109</v>
      </c>
      <c r="H23" s="36"/>
    </row>
    <row r="24" spans="1:8" x14ac:dyDescent="0.2">
      <c r="A24" s="34">
        <v>20</v>
      </c>
      <c r="B24" s="35">
        <v>46426</v>
      </c>
      <c r="C24" s="35">
        <v>46432</v>
      </c>
      <c r="D24" s="36" t="s">
        <v>150</v>
      </c>
      <c r="E24" s="34" t="s">
        <v>159</v>
      </c>
      <c r="F24" s="34" t="s">
        <v>160</v>
      </c>
      <c r="G24" s="37" t="s">
        <v>161</v>
      </c>
      <c r="H24" s="36" t="s">
        <v>162</v>
      </c>
    </row>
    <row r="25" spans="1:8" x14ac:dyDescent="0.2">
      <c r="A25" s="34">
        <v>21</v>
      </c>
      <c r="B25" s="35">
        <v>46433</v>
      </c>
      <c r="C25" s="35">
        <v>46439</v>
      </c>
      <c r="D25" s="36" t="s">
        <v>163</v>
      </c>
      <c r="E25" s="34" t="s">
        <v>164</v>
      </c>
      <c r="F25" s="34" t="s">
        <v>165</v>
      </c>
      <c r="G25" s="37" t="s">
        <v>109</v>
      </c>
      <c r="H25" s="36"/>
    </row>
    <row r="26" spans="1:8" x14ac:dyDescent="0.2">
      <c r="A26" s="34">
        <v>22</v>
      </c>
      <c r="B26" s="35">
        <v>46440</v>
      </c>
      <c r="C26" s="35">
        <v>46446</v>
      </c>
      <c r="D26" s="36" t="s">
        <v>163</v>
      </c>
      <c r="E26" s="34" t="s">
        <v>166</v>
      </c>
      <c r="F26" s="34" t="s">
        <v>167</v>
      </c>
      <c r="G26" s="37" t="s">
        <v>109</v>
      </c>
      <c r="H26" s="36"/>
    </row>
    <row r="27" spans="1:8" x14ac:dyDescent="0.2">
      <c r="A27" s="34">
        <v>23</v>
      </c>
      <c r="B27" s="35">
        <v>46447</v>
      </c>
      <c r="C27" s="35">
        <v>46453</v>
      </c>
      <c r="D27" s="36" t="s">
        <v>163</v>
      </c>
      <c r="E27" s="34" t="s">
        <v>168</v>
      </c>
      <c r="F27" s="34" t="s">
        <v>169</v>
      </c>
      <c r="G27" s="37" t="s">
        <v>109</v>
      </c>
      <c r="H27" s="36"/>
    </row>
    <row r="28" spans="1:8" x14ac:dyDescent="0.2">
      <c r="A28" s="2" t="s">
        <v>170</v>
      </c>
      <c r="B28" s="2"/>
      <c r="C28" s="2"/>
      <c r="D28" s="2"/>
      <c r="E28" s="2"/>
      <c r="F28" s="2"/>
      <c r="G28" s="2"/>
      <c r="H28" s="2"/>
    </row>
    <row r="29" spans="1:8" x14ac:dyDescent="0.2">
      <c r="A29" s="34">
        <v>24</v>
      </c>
      <c r="B29" s="35">
        <v>46461</v>
      </c>
      <c r="C29" s="35">
        <v>46467</v>
      </c>
      <c r="D29" s="36" t="s">
        <v>163</v>
      </c>
      <c r="E29" s="34" t="s">
        <v>171</v>
      </c>
      <c r="F29" s="34" t="s">
        <v>172</v>
      </c>
      <c r="G29" s="37" t="s">
        <v>109</v>
      </c>
      <c r="H29" s="36"/>
    </row>
    <row r="30" spans="1:8" x14ac:dyDescent="0.2">
      <c r="A30" s="34">
        <v>25</v>
      </c>
      <c r="B30" s="35">
        <v>46468</v>
      </c>
      <c r="C30" s="35">
        <v>46474</v>
      </c>
      <c r="D30" s="36" t="s">
        <v>163</v>
      </c>
      <c r="E30" s="34" t="s">
        <v>173</v>
      </c>
      <c r="F30" s="34" t="s">
        <v>174</v>
      </c>
      <c r="G30" s="37" t="s">
        <v>175</v>
      </c>
      <c r="H30" s="36" t="s">
        <v>176</v>
      </c>
    </row>
    <row r="31" spans="1:8" x14ac:dyDescent="0.2">
      <c r="A31" s="34">
        <v>26</v>
      </c>
      <c r="B31" s="35">
        <v>46475</v>
      </c>
      <c r="C31" s="35">
        <v>46481</v>
      </c>
      <c r="D31" s="36" t="s">
        <v>177</v>
      </c>
      <c r="E31" s="34" t="s">
        <v>178</v>
      </c>
      <c r="F31" s="34" t="s">
        <v>179</v>
      </c>
      <c r="G31" s="37" t="s">
        <v>109</v>
      </c>
      <c r="H31" s="36"/>
    </row>
    <row r="32" spans="1:8" x14ac:dyDescent="0.2">
      <c r="A32" s="34">
        <v>27</v>
      </c>
      <c r="B32" s="35">
        <v>46482</v>
      </c>
      <c r="C32" s="35">
        <v>46488</v>
      </c>
      <c r="D32" s="36" t="s">
        <v>177</v>
      </c>
      <c r="E32" s="34" t="s">
        <v>180</v>
      </c>
      <c r="F32" s="34" t="s">
        <v>181</v>
      </c>
      <c r="G32" s="37" t="s">
        <v>109</v>
      </c>
      <c r="H32" s="36"/>
    </row>
    <row r="33" spans="1:8" x14ac:dyDescent="0.2">
      <c r="A33" s="34">
        <v>28</v>
      </c>
      <c r="B33" s="35">
        <v>46489</v>
      </c>
      <c r="C33" s="35">
        <v>46495</v>
      </c>
      <c r="D33" s="36" t="s">
        <v>177</v>
      </c>
      <c r="E33" s="34" t="s">
        <v>182</v>
      </c>
      <c r="F33" s="34" t="s">
        <v>183</v>
      </c>
      <c r="G33" s="37" t="s">
        <v>109</v>
      </c>
      <c r="H33" s="36"/>
    </row>
    <row r="34" spans="1:8" x14ac:dyDescent="0.2">
      <c r="A34" s="34">
        <v>29</v>
      </c>
      <c r="B34" s="35">
        <v>46496</v>
      </c>
      <c r="C34" s="35">
        <v>46502</v>
      </c>
      <c r="D34" s="36" t="s">
        <v>177</v>
      </c>
      <c r="E34" s="34" t="s">
        <v>184</v>
      </c>
      <c r="F34" s="34" t="s">
        <v>185</v>
      </c>
      <c r="G34" s="37" t="s">
        <v>109</v>
      </c>
      <c r="H34" s="36"/>
    </row>
    <row r="35" spans="1:8" ht="28" x14ac:dyDescent="0.2">
      <c r="A35" s="34">
        <v>30</v>
      </c>
      <c r="B35" s="35">
        <v>46503</v>
      </c>
      <c r="C35" s="35">
        <v>46509</v>
      </c>
      <c r="D35" s="36" t="s">
        <v>177</v>
      </c>
      <c r="E35" s="34" t="s">
        <v>109</v>
      </c>
      <c r="F35" s="34" t="s">
        <v>109</v>
      </c>
      <c r="G35" s="37" t="s">
        <v>186</v>
      </c>
      <c r="H35" s="36" t="s">
        <v>187</v>
      </c>
    </row>
    <row r="36" spans="1:8" x14ac:dyDescent="0.2">
      <c r="A36" s="1" t="s">
        <v>188</v>
      </c>
      <c r="B36" s="1"/>
      <c r="C36" s="1"/>
      <c r="D36" s="1"/>
      <c r="E36" s="1"/>
      <c r="F36" s="1"/>
      <c r="G36" s="1"/>
      <c r="H36" s="1"/>
    </row>
    <row r="38" spans="1:8" x14ac:dyDescent="0.2">
      <c r="A38" s="8" t="s">
        <v>189</v>
      </c>
    </row>
  </sheetData>
  <mergeCells count="3">
    <mergeCell ref="A19:H19"/>
    <mergeCell ref="A28:H28"/>
    <mergeCell ref="A36:H3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Gantt</vt:lpstr>
      <vt:lpstr>Course Schedule</vt:lpstr>
      <vt:lpstr>Gantt!Print_Titles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 Miller</cp:lastModifiedBy>
  <cp:revision>0</cp:revision>
  <dcterms:created xsi:type="dcterms:W3CDTF">2026-10-02T23:01:58Z</dcterms:created>
  <dcterms:modified xsi:type="dcterms:W3CDTF">2026-10-02T23:32:31Z</dcterms:modified>
  <dc:language>en-US</dc:language>
</cp:coreProperties>
</file>